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Cuticle thickness/"/>
    </mc:Choice>
  </mc:AlternateContent>
  <xr:revisionPtr revIDLastSave="0" documentId="8_{D8638B94-8F1B-D54D-8DEA-00A6F12227F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ivot" sheetId="3" r:id="rId1"/>
    <sheet name="data" sheetId="1" r:id="rId2"/>
    <sheet name="fruit_size" sheetId="2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I322" i="1" l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J3" i="1" l="1"/>
  <c r="J27" i="1"/>
  <c r="J43" i="1"/>
  <c r="J59" i="1"/>
  <c r="J83" i="1"/>
  <c r="J107" i="1"/>
  <c r="J131" i="1"/>
  <c r="J147" i="1"/>
  <c r="J171" i="1"/>
  <c r="J195" i="1"/>
  <c r="J211" i="1"/>
  <c r="J235" i="1"/>
  <c r="J243" i="1"/>
  <c r="J251" i="1"/>
  <c r="J259" i="1"/>
  <c r="J275" i="1"/>
  <c r="J283" i="1"/>
  <c r="J291" i="1"/>
  <c r="J299" i="1"/>
  <c r="J307" i="1"/>
  <c r="J315" i="1"/>
  <c r="J11" i="1"/>
  <c r="J19" i="1"/>
  <c r="J35" i="1"/>
  <c r="J51" i="1"/>
  <c r="J67" i="1"/>
  <c r="J75" i="1"/>
  <c r="J91" i="1"/>
  <c r="J99" i="1"/>
  <c r="J115" i="1"/>
  <c r="J123" i="1"/>
  <c r="J139" i="1"/>
  <c r="J155" i="1"/>
  <c r="J163" i="1"/>
  <c r="J179" i="1"/>
  <c r="J187" i="1"/>
  <c r="J203" i="1"/>
  <c r="J219" i="1"/>
  <c r="J227" i="1"/>
  <c r="J267" i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52" i="1"/>
  <c r="J260" i="1"/>
  <c r="J268" i="1"/>
  <c r="J276" i="1"/>
  <c r="J284" i="1"/>
  <c r="J292" i="1"/>
  <c r="J300" i="1"/>
  <c r="J308" i="1"/>
  <c r="J316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14" i="1"/>
  <c r="J22" i="1"/>
  <c r="J30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6" i="1"/>
  <c r="J38" i="1"/>
  <c r="J55" i="1"/>
  <c r="J135" i="1"/>
  <c r="J175" i="1"/>
  <c r="J199" i="1"/>
  <c r="J231" i="1"/>
  <c r="J239" i="1"/>
  <c r="J247" i="1"/>
  <c r="J279" i="1"/>
  <c r="J287" i="1"/>
  <c r="J295" i="1"/>
  <c r="J303" i="1"/>
  <c r="J311" i="1"/>
  <c r="J319" i="1"/>
  <c r="J7" i="1"/>
  <c r="J31" i="1"/>
  <c r="J63" i="1"/>
  <c r="J95" i="1"/>
  <c r="J111" i="1"/>
  <c r="J143" i="1"/>
  <c r="J167" i="1"/>
  <c r="J207" i="1"/>
  <c r="J263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15" i="1"/>
  <c r="J39" i="1"/>
  <c r="J71" i="1"/>
  <c r="J87" i="1"/>
  <c r="J127" i="1"/>
  <c r="J159" i="1"/>
  <c r="J191" i="1"/>
  <c r="J223" i="1"/>
  <c r="J271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3" i="1"/>
  <c r="J321" i="1"/>
  <c r="J23" i="1"/>
  <c r="J47" i="1"/>
  <c r="J79" i="1"/>
  <c r="J103" i="1"/>
  <c r="J119" i="1"/>
  <c r="J151" i="1"/>
  <c r="J183" i="1"/>
  <c r="J215" i="1"/>
  <c r="J255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4" i="1"/>
  <c r="J322" i="1"/>
</calcChain>
</file>

<file path=xl/sharedStrings.xml><?xml version="1.0" encoding="utf-8"?>
<sst xmlns="http://schemas.openxmlformats.org/spreadsheetml/2006/main" count="27" uniqueCount="22">
  <si>
    <t>fruit</t>
  </si>
  <si>
    <t>picture</t>
  </si>
  <si>
    <t>thickness_um</t>
  </si>
  <si>
    <t>length</t>
  </si>
  <si>
    <t>width</t>
  </si>
  <si>
    <t>Grand Total</t>
  </si>
  <si>
    <t>Average of thickness_um</t>
  </si>
  <si>
    <t>transpiration</t>
  </si>
  <si>
    <t>transpiration_after</t>
  </si>
  <si>
    <t>transp_1</t>
  </si>
  <si>
    <t>trans_2</t>
  </si>
  <si>
    <t>diff_perct</t>
  </si>
  <si>
    <t>Average of width</t>
  </si>
  <si>
    <t>Average of length</t>
  </si>
  <si>
    <t>Average of transp_1</t>
  </si>
  <si>
    <t>Average of trans_2</t>
  </si>
  <si>
    <t>Average of diff_perct</t>
  </si>
  <si>
    <t>Values</t>
  </si>
  <si>
    <t>(All)</t>
  </si>
  <si>
    <t>measurement</t>
  </si>
  <si>
    <t>area</t>
  </si>
  <si>
    <t>Average of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</si>
</sst>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9" fontId="0" fillId="0" borderId="0" xfId="1" applyFont="1"/>
    <xf numFmtId="2" fontId="0" fillId="0" borderId="0" xfId="1" applyNumberFormat="1" applyFont="1"/>
    <xf numFmtId="1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66">
    <dxf>
      <numFmt numFmtId="164" formatCode="0.0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4" formatCode="0.0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72" formatCode="0.0"/>
    </dxf>
    <dxf>
      <numFmt numFmtId="1" formatCode="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64" formatCode="0.000"/>
    </dxf>
    <dxf>
      <numFmt numFmtId="171" formatCode="0.0000"/>
    </dxf>
    <dxf>
      <numFmt numFmtId="1" formatCode="0"/>
    </dxf>
    <dxf>
      <numFmt numFmtId="2" formatCode="0.00"/>
    </dxf>
    <dxf>
      <numFmt numFmtId="2" formatCode="0.00"/>
    </dxf>
    <dxf>
      <numFmt numFmtId="171" formatCode="0.0000"/>
    </dxf>
    <dxf>
      <numFmt numFmtId="170" formatCode="0.00000"/>
    </dxf>
    <dxf>
      <numFmt numFmtId="1" formatCode="0"/>
    </dxf>
    <dxf>
      <numFmt numFmtId="2" formatCode="0.00"/>
    </dxf>
    <dxf>
      <numFmt numFmtId="2" formatCode="0.00"/>
    </dxf>
    <dxf>
      <numFmt numFmtId="170" formatCode="0.00000"/>
    </dxf>
    <dxf>
      <numFmt numFmtId="169" formatCode="0.000000"/>
    </dxf>
    <dxf>
      <numFmt numFmtId="1" formatCode="0"/>
    </dxf>
    <dxf>
      <numFmt numFmtId="2" formatCode="0.00"/>
    </dxf>
    <dxf>
      <numFmt numFmtId="2" formatCode="0.00"/>
    </dxf>
    <dxf>
      <numFmt numFmtId="169" formatCode="0.000000"/>
    </dxf>
    <dxf>
      <numFmt numFmtId="168" formatCode="0.0000000"/>
    </dxf>
    <dxf>
      <numFmt numFmtId="1" formatCode="0"/>
    </dxf>
    <dxf>
      <numFmt numFmtId="2" formatCode="0.00"/>
    </dxf>
    <dxf>
      <numFmt numFmtId="2" formatCode="0.00"/>
    </dxf>
    <dxf>
      <numFmt numFmtId="168" formatCode="0.0000000"/>
    </dxf>
    <dxf>
      <numFmt numFmtId="167" formatCode="0.00000000"/>
    </dxf>
    <dxf>
      <numFmt numFmtId="1" formatCode="0"/>
    </dxf>
    <dxf>
      <numFmt numFmtId="2" formatCode="0.00"/>
    </dxf>
    <dxf>
      <numFmt numFmtId="2" formatCode="0.00"/>
    </dxf>
    <dxf>
      <numFmt numFmtId="167" formatCode="0.00000000"/>
    </dxf>
    <dxf>
      <numFmt numFmtId="166" formatCode="0.000000000"/>
    </dxf>
    <dxf>
      <numFmt numFmtId="1" formatCode="0"/>
    </dxf>
    <dxf>
      <numFmt numFmtId="2" formatCode="0.00"/>
    </dxf>
    <dxf>
      <numFmt numFmtId="2" formatCode="0.00"/>
    </dxf>
    <dxf>
      <numFmt numFmtId="166" formatCode="0.000000000"/>
    </dxf>
    <dxf>
      <numFmt numFmtId="165" formatCode="0.0000000000"/>
    </dxf>
    <dxf>
      <numFmt numFmtId="1" formatCode="0"/>
    </dxf>
    <dxf>
      <numFmt numFmtId="2" formatCode="0.00"/>
    </dxf>
    <dxf>
      <numFmt numFmtId="2" formatCode="0.00"/>
    </dxf>
    <dxf>
      <numFmt numFmtId="165" formatCode="0.0000000000"/>
    </dxf>
    <dxf>
      <numFmt numFmtId="1" formatCode="0"/>
    </dxf>
    <dxf>
      <numFmt numFmtId="2" formatCode="0.00"/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87.561128240741" createdVersion="8" refreshedVersion="8" minRefreshableVersion="3" recordCount="320" xr:uid="{A1A4A1D1-E1ED-0248-9D34-EFBAA852196C}">
  <cacheSource type="worksheet">
    <worksheetSource ref="A2:J322" sheet="data"/>
  </cacheSource>
  <cacheFields count="10">
    <cacheField name="fru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icture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easurement" numFmtId="0">
      <sharedItems containsSemiMixedTypes="0" containsString="0" containsNumber="1" containsInteger="1" minValue="1" maxValue="20"/>
    </cacheField>
    <cacheField name="thickness_um" numFmtId="0">
      <sharedItems containsSemiMixedTypes="0" containsString="0" containsNumber="1" minValue="2.31" maxValue="8.0399999999999991"/>
    </cacheField>
    <cacheField name="width" numFmtId="0">
      <sharedItems containsSemiMixedTypes="0" containsString="0" containsNumber="1" containsInteger="1" minValue="6" maxValue="8"/>
    </cacheField>
    <cacheField name="length" numFmtId="0">
      <sharedItems containsSemiMixedTypes="0" containsString="0" containsNumber="1" containsInteger="1" minValue="11" maxValue="14"/>
    </cacheField>
    <cacheField name="area" numFmtId="0">
      <sharedItems containsSemiMixedTypes="0" containsString="0" containsNumber="1" containsInteger="1" minValue="66" maxValue="112"/>
    </cacheField>
    <cacheField name="transp_1" numFmtId="0">
      <sharedItems containsSemiMixedTypes="0" containsString="0" containsNumber="1" minValue="0.3" maxValue="0.36"/>
    </cacheField>
    <cacheField name="trans_2" numFmtId="0">
      <sharedItems containsSemiMixedTypes="0" containsString="0" containsNumber="1" minValue="0.28000000000000003" maxValue="0.31"/>
    </cacheField>
    <cacheField name="diff_perct" numFmtId="2">
      <sharedItems containsSemiMixedTypes="0" containsString="0" containsNumber="1" minValue="-0.19444444444444448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n v="1"/>
    <n v="3.27"/>
    <n v="6"/>
    <n v="11"/>
    <n v="66"/>
    <n v="0.36"/>
    <n v="0.28999999999999998"/>
    <n v="-0.19444444444444448"/>
  </r>
  <r>
    <x v="0"/>
    <x v="0"/>
    <n v="2"/>
    <n v="3.78"/>
    <n v="6"/>
    <n v="11"/>
    <n v="66"/>
    <n v="0.36"/>
    <n v="0.28999999999999998"/>
    <n v="-0.19444444444444448"/>
  </r>
  <r>
    <x v="0"/>
    <x v="0"/>
    <n v="3"/>
    <n v="3.36"/>
    <n v="6"/>
    <n v="11"/>
    <n v="66"/>
    <n v="0.36"/>
    <n v="0.28999999999999998"/>
    <n v="-0.19444444444444448"/>
  </r>
  <r>
    <x v="0"/>
    <x v="0"/>
    <n v="4"/>
    <n v="2.98"/>
    <n v="6"/>
    <n v="11"/>
    <n v="66"/>
    <n v="0.36"/>
    <n v="0.28999999999999998"/>
    <n v="-0.19444444444444448"/>
  </r>
  <r>
    <x v="0"/>
    <x v="0"/>
    <n v="5"/>
    <n v="3.94"/>
    <n v="6"/>
    <n v="11"/>
    <n v="66"/>
    <n v="0.36"/>
    <n v="0.28999999999999998"/>
    <n v="-0.19444444444444448"/>
  </r>
  <r>
    <x v="0"/>
    <x v="0"/>
    <n v="6"/>
    <n v="4.6399999999999997"/>
    <n v="6"/>
    <n v="11"/>
    <n v="66"/>
    <n v="0.36"/>
    <n v="0.28999999999999998"/>
    <n v="-0.19444444444444448"/>
  </r>
  <r>
    <x v="0"/>
    <x v="0"/>
    <n v="7"/>
    <n v="4.0999999999999996"/>
    <n v="6"/>
    <n v="11"/>
    <n v="66"/>
    <n v="0.36"/>
    <n v="0.28999999999999998"/>
    <n v="-0.19444444444444448"/>
  </r>
  <r>
    <x v="0"/>
    <x v="0"/>
    <n v="8"/>
    <n v="3.91"/>
    <n v="6"/>
    <n v="11"/>
    <n v="66"/>
    <n v="0.36"/>
    <n v="0.28999999999999998"/>
    <n v="-0.19444444444444448"/>
  </r>
  <r>
    <x v="0"/>
    <x v="0"/>
    <n v="9"/>
    <n v="3.01"/>
    <n v="6"/>
    <n v="11"/>
    <n v="66"/>
    <n v="0.36"/>
    <n v="0.28999999999999998"/>
    <n v="-0.19444444444444448"/>
  </r>
  <r>
    <x v="0"/>
    <x v="0"/>
    <n v="10"/>
    <n v="2.82"/>
    <n v="6"/>
    <n v="11"/>
    <n v="66"/>
    <n v="0.36"/>
    <n v="0.28999999999999998"/>
    <n v="-0.19444444444444448"/>
  </r>
  <r>
    <x v="0"/>
    <x v="0"/>
    <n v="11"/>
    <n v="3.52"/>
    <n v="6"/>
    <n v="11"/>
    <n v="66"/>
    <n v="0.36"/>
    <n v="0.28999999999999998"/>
    <n v="-0.19444444444444448"/>
  </r>
  <r>
    <x v="0"/>
    <x v="0"/>
    <n v="12"/>
    <n v="3.77"/>
    <n v="6"/>
    <n v="11"/>
    <n v="66"/>
    <n v="0.36"/>
    <n v="0.28999999999999998"/>
    <n v="-0.19444444444444448"/>
  </r>
  <r>
    <x v="0"/>
    <x v="0"/>
    <n v="13"/>
    <n v="3.66"/>
    <n v="6"/>
    <n v="11"/>
    <n v="66"/>
    <n v="0.36"/>
    <n v="0.28999999999999998"/>
    <n v="-0.19444444444444448"/>
  </r>
  <r>
    <x v="0"/>
    <x v="0"/>
    <n v="14"/>
    <n v="3.24"/>
    <n v="6"/>
    <n v="11"/>
    <n v="66"/>
    <n v="0.36"/>
    <n v="0.28999999999999998"/>
    <n v="-0.19444444444444448"/>
  </r>
  <r>
    <x v="0"/>
    <x v="0"/>
    <n v="15"/>
    <n v="3.33"/>
    <n v="6"/>
    <n v="11"/>
    <n v="66"/>
    <n v="0.36"/>
    <n v="0.28999999999999998"/>
    <n v="-0.19444444444444448"/>
  </r>
  <r>
    <x v="0"/>
    <x v="0"/>
    <n v="16"/>
    <n v="3.31"/>
    <n v="6"/>
    <n v="11"/>
    <n v="66"/>
    <n v="0.36"/>
    <n v="0.28999999999999998"/>
    <n v="-0.19444444444444448"/>
  </r>
  <r>
    <x v="0"/>
    <x v="0"/>
    <n v="17"/>
    <n v="2.88"/>
    <n v="6"/>
    <n v="11"/>
    <n v="66"/>
    <n v="0.36"/>
    <n v="0.28999999999999998"/>
    <n v="-0.19444444444444448"/>
  </r>
  <r>
    <x v="0"/>
    <x v="0"/>
    <n v="18"/>
    <n v="3.23"/>
    <n v="6"/>
    <n v="11"/>
    <n v="66"/>
    <n v="0.36"/>
    <n v="0.28999999999999998"/>
    <n v="-0.19444444444444448"/>
  </r>
  <r>
    <x v="0"/>
    <x v="0"/>
    <n v="19"/>
    <n v="3.1"/>
    <n v="6"/>
    <n v="11"/>
    <n v="66"/>
    <n v="0.36"/>
    <n v="0.28999999999999998"/>
    <n v="-0.19444444444444448"/>
  </r>
  <r>
    <x v="0"/>
    <x v="0"/>
    <n v="20"/>
    <n v="3.69"/>
    <n v="6"/>
    <n v="11"/>
    <n v="66"/>
    <n v="0.36"/>
    <n v="0.28999999999999998"/>
    <n v="-0.19444444444444448"/>
  </r>
  <r>
    <x v="0"/>
    <x v="1"/>
    <n v="1"/>
    <n v="3.85"/>
    <n v="6"/>
    <n v="11"/>
    <n v="66"/>
    <n v="0.36"/>
    <n v="0.28999999999999998"/>
    <n v="-0.19444444444444448"/>
  </r>
  <r>
    <x v="0"/>
    <x v="1"/>
    <n v="2"/>
    <n v="4.3499999999999996"/>
    <n v="6"/>
    <n v="11"/>
    <n v="66"/>
    <n v="0.36"/>
    <n v="0.28999999999999998"/>
    <n v="-0.19444444444444448"/>
  </r>
  <r>
    <x v="0"/>
    <x v="1"/>
    <n v="3"/>
    <n v="4.49"/>
    <n v="6"/>
    <n v="11"/>
    <n v="66"/>
    <n v="0.36"/>
    <n v="0.28999999999999998"/>
    <n v="-0.19444444444444448"/>
  </r>
  <r>
    <x v="0"/>
    <x v="1"/>
    <n v="4"/>
    <n v="3.52"/>
    <n v="6"/>
    <n v="11"/>
    <n v="66"/>
    <n v="0.36"/>
    <n v="0.28999999999999998"/>
    <n v="-0.19444444444444448"/>
  </r>
  <r>
    <x v="0"/>
    <x v="1"/>
    <n v="5"/>
    <n v="3.49"/>
    <n v="6"/>
    <n v="11"/>
    <n v="66"/>
    <n v="0.36"/>
    <n v="0.28999999999999998"/>
    <n v="-0.19444444444444448"/>
  </r>
  <r>
    <x v="0"/>
    <x v="1"/>
    <n v="6"/>
    <n v="3.89"/>
    <n v="6"/>
    <n v="11"/>
    <n v="66"/>
    <n v="0.36"/>
    <n v="0.28999999999999998"/>
    <n v="-0.19444444444444448"/>
  </r>
  <r>
    <x v="0"/>
    <x v="1"/>
    <n v="7"/>
    <n v="4.28"/>
    <n v="6"/>
    <n v="11"/>
    <n v="66"/>
    <n v="0.36"/>
    <n v="0.28999999999999998"/>
    <n v="-0.19444444444444448"/>
  </r>
  <r>
    <x v="0"/>
    <x v="1"/>
    <n v="8"/>
    <n v="3.89"/>
    <n v="6"/>
    <n v="11"/>
    <n v="66"/>
    <n v="0.36"/>
    <n v="0.28999999999999998"/>
    <n v="-0.19444444444444448"/>
  </r>
  <r>
    <x v="0"/>
    <x v="1"/>
    <n v="9"/>
    <n v="4.5599999999999996"/>
    <n v="6"/>
    <n v="11"/>
    <n v="66"/>
    <n v="0.36"/>
    <n v="0.28999999999999998"/>
    <n v="-0.19444444444444448"/>
  </r>
  <r>
    <x v="0"/>
    <x v="1"/>
    <n v="10"/>
    <n v="4.49"/>
    <n v="6"/>
    <n v="11"/>
    <n v="66"/>
    <n v="0.36"/>
    <n v="0.28999999999999998"/>
    <n v="-0.19444444444444448"/>
  </r>
  <r>
    <x v="0"/>
    <x v="1"/>
    <n v="11"/>
    <n v="4.2300000000000004"/>
    <n v="6"/>
    <n v="11"/>
    <n v="66"/>
    <n v="0.36"/>
    <n v="0.28999999999999998"/>
    <n v="-0.19444444444444448"/>
  </r>
  <r>
    <x v="0"/>
    <x v="1"/>
    <n v="12"/>
    <n v="4.4000000000000004"/>
    <n v="6"/>
    <n v="11"/>
    <n v="66"/>
    <n v="0.36"/>
    <n v="0.28999999999999998"/>
    <n v="-0.19444444444444448"/>
  </r>
  <r>
    <x v="0"/>
    <x v="1"/>
    <n v="13"/>
    <n v="4.32"/>
    <n v="6"/>
    <n v="11"/>
    <n v="66"/>
    <n v="0.36"/>
    <n v="0.28999999999999998"/>
    <n v="-0.19444444444444448"/>
  </r>
  <r>
    <x v="0"/>
    <x v="1"/>
    <n v="14"/>
    <n v="4.49"/>
    <n v="6"/>
    <n v="11"/>
    <n v="66"/>
    <n v="0.36"/>
    <n v="0.28999999999999998"/>
    <n v="-0.19444444444444448"/>
  </r>
  <r>
    <x v="0"/>
    <x v="1"/>
    <n v="15"/>
    <n v="5.48"/>
    <n v="6"/>
    <n v="11"/>
    <n v="66"/>
    <n v="0.36"/>
    <n v="0.28999999999999998"/>
    <n v="-0.19444444444444448"/>
  </r>
  <r>
    <x v="0"/>
    <x v="1"/>
    <n v="16"/>
    <n v="5.03"/>
    <n v="6"/>
    <n v="11"/>
    <n v="66"/>
    <n v="0.36"/>
    <n v="0.28999999999999998"/>
    <n v="-0.19444444444444448"/>
  </r>
  <r>
    <x v="0"/>
    <x v="1"/>
    <n v="17"/>
    <n v="4.49"/>
    <n v="6"/>
    <n v="11"/>
    <n v="66"/>
    <n v="0.36"/>
    <n v="0.28999999999999998"/>
    <n v="-0.19444444444444448"/>
  </r>
  <r>
    <x v="0"/>
    <x v="1"/>
    <n v="18"/>
    <n v="4.8"/>
    <n v="6"/>
    <n v="11"/>
    <n v="66"/>
    <n v="0.36"/>
    <n v="0.28999999999999998"/>
    <n v="-0.19444444444444448"/>
  </r>
  <r>
    <x v="0"/>
    <x v="1"/>
    <n v="19"/>
    <n v="4.9400000000000004"/>
    <n v="6"/>
    <n v="11"/>
    <n v="66"/>
    <n v="0.36"/>
    <n v="0.28999999999999998"/>
    <n v="-0.19444444444444448"/>
  </r>
  <r>
    <x v="0"/>
    <x v="1"/>
    <n v="20"/>
    <n v="4.8600000000000003"/>
    <n v="6"/>
    <n v="11"/>
    <n v="66"/>
    <n v="0.36"/>
    <n v="0.28999999999999998"/>
    <n v="-0.19444444444444448"/>
  </r>
  <r>
    <x v="0"/>
    <x v="2"/>
    <n v="1"/>
    <n v="3.23"/>
    <n v="6"/>
    <n v="11"/>
    <n v="66"/>
    <n v="0.36"/>
    <n v="0.28999999999999998"/>
    <n v="-0.19444444444444448"/>
  </r>
  <r>
    <x v="0"/>
    <x v="2"/>
    <n v="2"/>
    <n v="3.27"/>
    <n v="6"/>
    <n v="11"/>
    <n v="66"/>
    <n v="0.36"/>
    <n v="0.28999999999999998"/>
    <n v="-0.19444444444444448"/>
  </r>
  <r>
    <x v="0"/>
    <x v="2"/>
    <n v="3"/>
    <n v="3.84"/>
    <n v="6"/>
    <n v="11"/>
    <n v="66"/>
    <n v="0.36"/>
    <n v="0.28999999999999998"/>
    <n v="-0.19444444444444448"/>
  </r>
  <r>
    <x v="0"/>
    <x v="2"/>
    <n v="4"/>
    <n v="3.81"/>
    <n v="6"/>
    <n v="11"/>
    <n v="66"/>
    <n v="0.36"/>
    <n v="0.28999999999999998"/>
    <n v="-0.19444444444444448"/>
  </r>
  <r>
    <x v="0"/>
    <x v="2"/>
    <n v="5"/>
    <n v="4.09"/>
    <n v="6"/>
    <n v="11"/>
    <n v="66"/>
    <n v="0.36"/>
    <n v="0.28999999999999998"/>
    <n v="-0.19444444444444448"/>
  </r>
  <r>
    <x v="0"/>
    <x v="2"/>
    <n v="6"/>
    <n v="4.0599999999999996"/>
    <n v="6"/>
    <n v="11"/>
    <n v="66"/>
    <n v="0.36"/>
    <n v="0.28999999999999998"/>
    <n v="-0.19444444444444448"/>
  </r>
  <r>
    <x v="0"/>
    <x v="2"/>
    <n v="7"/>
    <n v="2.84"/>
    <n v="6"/>
    <n v="11"/>
    <n v="66"/>
    <n v="0.36"/>
    <n v="0.28999999999999998"/>
    <n v="-0.19444444444444448"/>
  </r>
  <r>
    <x v="0"/>
    <x v="2"/>
    <n v="8"/>
    <n v="2.77"/>
    <n v="6"/>
    <n v="11"/>
    <n v="66"/>
    <n v="0.36"/>
    <n v="0.28999999999999998"/>
    <n v="-0.19444444444444448"/>
  </r>
  <r>
    <x v="0"/>
    <x v="2"/>
    <n v="9"/>
    <n v="3.27"/>
    <n v="6"/>
    <n v="11"/>
    <n v="66"/>
    <n v="0.36"/>
    <n v="0.28999999999999998"/>
    <n v="-0.19444444444444448"/>
  </r>
  <r>
    <x v="0"/>
    <x v="2"/>
    <n v="10"/>
    <n v="3.08"/>
    <n v="6"/>
    <n v="11"/>
    <n v="66"/>
    <n v="0.36"/>
    <n v="0.28999999999999998"/>
    <n v="-0.19444444444444448"/>
  </r>
  <r>
    <x v="0"/>
    <x v="2"/>
    <n v="11"/>
    <n v="3.46"/>
    <n v="6"/>
    <n v="11"/>
    <n v="66"/>
    <n v="0.36"/>
    <n v="0.28999999999999998"/>
    <n v="-0.19444444444444448"/>
  </r>
  <r>
    <x v="0"/>
    <x v="2"/>
    <n v="12"/>
    <n v="4.78"/>
    <n v="6"/>
    <n v="11"/>
    <n v="66"/>
    <n v="0.36"/>
    <n v="0.28999999999999998"/>
    <n v="-0.19444444444444448"/>
  </r>
  <r>
    <x v="0"/>
    <x v="2"/>
    <n v="13"/>
    <n v="3.4"/>
    <n v="6"/>
    <n v="11"/>
    <n v="66"/>
    <n v="0.36"/>
    <n v="0.28999999999999998"/>
    <n v="-0.19444444444444448"/>
  </r>
  <r>
    <x v="0"/>
    <x v="2"/>
    <n v="14"/>
    <n v="3.5"/>
    <n v="6"/>
    <n v="11"/>
    <n v="66"/>
    <n v="0.36"/>
    <n v="0.28999999999999998"/>
    <n v="-0.19444444444444448"/>
  </r>
  <r>
    <x v="0"/>
    <x v="2"/>
    <n v="15"/>
    <n v="4.9800000000000004"/>
    <n v="6"/>
    <n v="11"/>
    <n v="66"/>
    <n v="0.36"/>
    <n v="0.28999999999999998"/>
    <n v="-0.19444444444444448"/>
  </r>
  <r>
    <x v="0"/>
    <x v="2"/>
    <n v="16"/>
    <n v="3.45"/>
    <n v="6"/>
    <n v="11"/>
    <n v="66"/>
    <n v="0.36"/>
    <n v="0.28999999999999998"/>
    <n v="-0.19444444444444448"/>
  </r>
  <r>
    <x v="0"/>
    <x v="2"/>
    <n v="17"/>
    <n v="3.62"/>
    <n v="6"/>
    <n v="11"/>
    <n v="66"/>
    <n v="0.36"/>
    <n v="0.28999999999999998"/>
    <n v="-0.19444444444444448"/>
  </r>
  <r>
    <x v="0"/>
    <x v="2"/>
    <n v="18"/>
    <n v="4.33"/>
    <n v="6"/>
    <n v="11"/>
    <n v="66"/>
    <n v="0.36"/>
    <n v="0.28999999999999998"/>
    <n v="-0.19444444444444448"/>
  </r>
  <r>
    <x v="0"/>
    <x v="2"/>
    <n v="19"/>
    <n v="3.64"/>
    <n v="6"/>
    <n v="11"/>
    <n v="66"/>
    <n v="0.36"/>
    <n v="0.28999999999999998"/>
    <n v="-0.19444444444444448"/>
  </r>
  <r>
    <x v="0"/>
    <x v="2"/>
    <n v="20"/>
    <n v="3.52"/>
    <n v="6"/>
    <n v="11"/>
    <n v="66"/>
    <n v="0.36"/>
    <n v="0.28999999999999998"/>
    <n v="-0.19444444444444448"/>
  </r>
  <r>
    <x v="0"/>
    <x v="3"/>
    <n v="1"/>
    <n v="3.42"/>
    <n v="6"/>
    <n v="11"/>
    <n v="66"/>
    <n v="0.36"/>
    <n v="0.28999999999999998"/>
    <n v="-0.19444444444444448"/>
  </r>
  <r>
    <x v="0"/>
    <x v="3"/>
    <n v="2"/>
    <n v="2.93"/>
    <n v="6"/>
    <n v="11"/>
    <n v="66"/>
    <n v="0.36"/>
    <n v="0.28999999999999998"/>
    <n v="-0.19444444444444448"/>
  </r>
  <r>
    <x v="0"/>
    <x v="3"/>
    <n v="3"/>
    <n v="3.1"/>
    <n v="6"/>
    <n v="11"/>
    <n v="66"/>
    <n v="0.36"/>
    <n v="0.28999999999999998"/>
    <n v="-0.19444444444444448"/>
  </r>
  <r>
    <x v="0"/>
    <x v="3"/>
    <n v="4"/>
    <n v="3.94"/>
    <n v="6"/>
    <n v="11"/>
    <n v="66"/>
    <n v="0.36"/>
    <n v="0.28999999999999998"/>
    <n v="-0.19444444444444448"/>
  </r>
  <r>
    <x v="0"/>
    <x v="3"/>
    <n v="5"/>
    <n v="3.04"/>
    <n v="6"/>
    <n v="11"/>
    <n v="66"/>
    <n v="0.36"/>
    <n v="0.28999999999999998"/>
    <n v="-0.19444444444444448"/>
  </r>
  <r>
    <x v="0"/>
    <x v="3"/>
    <n v="6"/>
    <n v="3.1"/>
    <n v="6"/>
    <n v="11"/>
    <n v="66"/>
    <n v="0.36"/>
    <n v="0.28999999999999998"/>
    <n v="-0.19444444444444448"/>
  </r>
  <r>
    <x v="0"/>
    <x v="3"/>
    <n v="7"/>
    <n v="3.5"/>
    <n v="6"/>
    <n v="11"/>
    <n v="66"/>
    <n v="0.36"/>
    <n v="0.28999999999999998"/>
    <n v="-0.19444444444444448"/>
  </r>
  <r>
    <x v="0"/>
    <x v="3"/>
    <n v="8"/>
    <n v="3.42"/>
    <n v="6"/>
    <n v="11"/>
    <n v="66"/>
    <n v="0.36"/>
    <n v="0.28999999999999998"/>
    <n v="-0.19444444444444448"/>
  </r>
  <r>
    <x v="0"/>
    <x v="3"/>
    <n v="9"/>
    <n v="3.41"/>
    <n v="6"/>
    <n v="11"/>
    <n v="66"/>
    <n v="0.36"/>
    <n v="0.28999999999999998"/>
    <n v="-0.19444444444444448"/>
  </r>
  <r>
    <x v="0"/>
    <x v="3"/>
    <n v="10"/>
    <n v="3.42"/>
    <n v="6"/>
    <n v="11"/>
    <n v="66"/>
    <n v="0.36"/>
    <n v="0.28999999999999998"/>
    <n v="-0.19444444444444448"/>
  </r>
  <r>
    <x v="0"/>
    <x v="3"/>
    <n v="11"/>
    <n v="3.73"/>
    <n v="6"/>
    <n v="11"/>
    <n v="66"/>
    <n v="0.36"/>
    <n v="0.28999999999999998"/>
    <n v="-0.19444444444444448"/>
  </r>
  <r>
    <x v="0"/>
    <x v="3"/>
    <n v="12"/>
    <n v="3.91"/>
    <n v="6"/>
    <n v="11"/>
    <n v="66"/>
    <n v="0.36"/>
    <n v="0.28999999999999998"/>
    <n v="-0.19444444444444448"/>
  </r>
  <r>
    <x v="0"/>
    <x v="3"/>
    <n v="13"/>
    <n v="3.52"/>
    <n v="6"/>
    <n v="11"/>
    <n v="66"/>
    <n v="0.36"/>
    <n v="0.28999999999999998"/>
    <n v="-0.19444444444444448"/>
  </r>
  <r>
    <x v="0"/>
    <x v="3"/>
    <n v="14"/>
    <n v="3.24"/>
    <n v="6"/>
    <n v="11"/>
    <n v="66"/>
    <n v="0.36"/>
    <n v="0.28999999999999998"/>
    <n v="-0.19444444444444448"/>
  </r>
  <r>
    <x v="0"/>
    <x v="3"/>
    <n v="15"/>
    <n v="3.6"/>
    <n v="6"/>
    <n v="11"/>
    <n v="66"/>
    <n v="0.36"/>
    <n v="0.28999999999999998"/>
    <n v="-0.19444444444444448"/>
  </r>
  <r>
    <x v="0"/>
    <x v="3"/>
    <n v="16"/>
    <n v="3.38"/>
    <n v="6"/>
    <n v="11"/>
    <n v="66"/>
    <n v="0.36"/>
    <n v="0.28999999999999998"/>
    <n v="-0.19444444444444448"/>
  </r>
  <r>
    <x v="0"/>
    <x v="3"/>
    <n v="17"/>
    <n v="3.66"/>
    <n v="6"/>
    <n v="11"/>
    <n v="66"/>
    <n v="0.36"/>
    <n v="0.28999999999999998"/>
    <n v="-0.19444444444444448"/>
  </r>
  <r>
    <x v="0"/>
    <x v="3"/>
    <n v="18"/>
    <n v="3.76"/>
    <n v="6"/>
    <n v="11"/>
    <n v="66"/>
    <n v="0.36"/>
    <n v="0.28999999999999998"/>
    <n v="-0.19444444444444448"/>
  </r>
  <r>
    <x v="0"/>
    <x v="3"/>
    <n v="19"/>
    <n v="3.5"/>
    <n v="6"/>
    <n v="11"/>
    <n v="66"/>
    <n v="0.36"/>
    <n v="0.28999999999999998"/>
    <n v="-0.19444444444444448"/>
  </r>
  <r>
    <x v="0"/>
    <x v="3"/>
    <n v="20"/>
    <n v="3.59"/>
    <n v="6"/>
    <n v="11"/>
    <n v="66"/>
    <n v="0.36"/>
    <n v="0.28999999999999998"/>
    <n v="-0.19444444444444448"/>
  </r>
  <r>
    <x v="1"/>
    <x v="0"/>
    <n v="1"/>
    <n v="3.39"/>
    <n v="8"/>
    <n v="14"/>
    <n v="112"/>
    <n v="0.31"/>
    <n v="0.31"/>
    <n v="0"/>
  </r>
  <r>
    <x v="1"/>
    <x v="0"/>
    <n v="2"/>
    <n v="4.1399999999999997"/>
    <n v="8"/>
    <n v="14"/>
    <n v="112"/>
    <n v="0.31"/>
    <n v="0.31"/>
    <n v="0"/>
  </r>
  <r>
    <x v="1"/>
    <x v="0"/>
    <n v="3"/>
    <n v="3.65"/>
    <n v="8"/>
    <n v="14"/>
    <n v="112"/>
    <n v="0.31"/>
    <n v="0.31"/>
    <n v="0"/>
  </r>
  <r>
    <x v="1"/>
    <x v="0"/>
    <n v="4"/>
    <n v="3.9"/>
    <n v="8"/>
    <n v="14"/>
    <n v="112"/>
    <n v="0.31"/>
    <n v="0.31"/>
    <n v="0"/>
  </r>
  <r>
    <x v="1"/>
    <x v="0"/>
    <n v="5"/>
    <n v="3.91"/>
    <n v="8"/>
    <n v="14"/>
    <n v="112"/>
    <n v="0.31"/>
    <n v="0.31"/>
    <n v="0"/>
  </r>
  <r>
    <x v="1"/>
    <x v="0"/>
    <n v="6"/>
    <n v="3.84"/>
    <n v="8"/>
    <n v="14"/>
    <n v="112"/>
    <n v="0.31"/>
    <n v="0.31"/>
    <n v="0"/>
  </r>
  <r>
    <x v="1"/>
    <x v="0"/>
    <n v="7"/>
    <n v="3.87"/>
    <n v="8"/>
    <n v="14"/>
    <n v="112"/>
    <n v="0.31"/>
    <n v="0.31"/>
    <n v="0"/>
  </r>
  <r>
    <x v="1"/>
    <x v="0"/>
    <n v="8"/>
    <n v="4.08"/>
    <n v="8"/>
    <n v="14"/>
    <n v="112"/>
    <n v="0.31"/>
    <n v="0.31"/>
    <n v="0"/>
  </r>
  <r>
    <x v="1"/>
    <x v="0"/>
    <n v="9"/>
    <n v="3.96"/>
    <n v="8"/>
    <n v="14"/>
    <n v="112"/>
    <n v="0.31"/>
    <n v="0.31"/>
    <n v="0"/>
  </r>
  <r>
    <x v="1"/>
    <x v="0"/>
    <n v="10"/>
    <n v="4.28"/>
    <n v="8"/>
    <n v="14"/>
    <n v="112"/>
    <n v="0.31"/>
    <n v="0.31"/>
    <n v="0"/>
  </r>
  <r>
    <x v="1"/>
    <x v="0"/>
    <n v="11"/>
    <n v="3.83"/>
    <n v="8"/>
    <n v="14"/>
    <n v="112"/>
    <n v="0.31"/>
    <n v="0.31"/>
    <n v="0"/>
  </r>
  <r>
    <x v="1"/>
    <x v="0"/>
    <n v="12"/>
    <n v="3.9"/>
    <n v="8"/>
    <n v="14"/>
    <n v="112"/>
    <n v="0.31"/>
    <n v="0.31"/>
    <n v="0"/>
  </r>
  <r>
    <x v="1"/>
    <x v="0"/>
    <n v="13"/>
    <n v="3.61"/>
    <n v="8"/>
    <n v="14"/>
    <n v="112"/>
    <n v="0.31"/>
    <n v="0.31"/>
    <n v="0"/>
  </r>
  <r>
    <x v="1"/>
    <x v="0"/>
    <n v="14"/>
    <n v="3.75"/>
    <n v="8"/>
    <n v="14"/>
    <n v="112"/>
    <n v="0.31"/>
    <n v="0.31"/>
    <n v="0"/>
  </r>
  <r>
    <x v="1"/>
    <x v="0"/>
    <n v="15"/>
    <n v="4.09"/>
    <n v="8"/>
    <n v="14"/>
    <n v="112"/>
    <n v="0.31"/>
    <n v="0.31"/>
    <n v="0"/>
  </r>
  <r>
    <x v="1"/>
    <x v="0"/>
    <n v="16"/>
    <n v="4.5"/>
    <n v="8"/>
    <n v="14"/>
    <n v="112"/>
    <n v="0.31"/>
    <n v="0.31"/>
    <n v="0"/>
  </r>
  <r>
    <x v="1"/>
    <x v="0"/>
    <n v="17"/>
    <n v="4.57"/>
    <n v="8"/>
    <n v="14"/>
    <n v="112"/>
    <n v="0.31"/>
    <n v="0.31"/>
    <n v="0"/>
  </r>
  <r>
    <x v="1"/>
    <x v="0"/>
    <n v="18"/>
    <n v="3.71"/>
    <n v="8"/>
    <n v="14"/>
    <n v="112"/>
    <n v="0.31"/>
    <n v="0.31"/>
    <n v="0"/>
  </r>
  <r>
    <x v="1"/>
    <x v="0"/>
    <n v="19"/>
    <n v="3.87"/>
    <n v="8"/>
    <n v="14"/>
    <n v="112"/>
    <n v="0.31"/>
    <n v="0.31"/>
    <n v="0"/>
  </r>
  <r>
    <x v="1"/>
    <x v="0"/>
    <n v="20"/>
    <n v="3.54"/>
    <n v="8"/>
    <n v="14"/>
    <n v="112"/>
    <n v="0.31"/>
    <n v="0.31"/>
    <n v="0"/>
  </r>
  <r>
    <x v="1"/>
    <x v="1"/>
    <n v="1"/>
    <n v="3.8"/>
    <n v="8"/>
    <n v="14"/>
    <n v="112"/>
    <n v="0.31"/>
    <n v="0.31"/>
    <n v="0"/>
  </r>
  <r>
    <x v="1"/>
    <x v="1"/>
    <n v="2"/>
    <n v="3.79"/>
    <n v="8"/>
    <n v="14"/>
    <n v="112"/>
    <n v="0.31"/>
    <n v="0.31"/>
    <n v="0"/>
  </r>
  <r>
    <x v="1"/>
    <x v="1"/>
    <n v="3"/>
    <n v="3.88"/>
    <n v="8"/>
    <n v="14"/>
    <n v="112"/>
    <n v="0.31"/>
    <n v="0.31"/>
    <n v="0"/>
  </r>
  <r>
    <x v="1"/>
    <x v="1"/>
    <n v="4"/>
    <n v="3.86"/>
    <n v="8"/>
    <n v="14"/>
    <n v="112"/>
    <n v="0.31"/>
    <n v="0.31"/>
    <n v="0"/>
  </r>
  <r>
    <x v="1"/>
    <x v="1"/>
    <n v="5"/>
    <n v="4.07"/>
    <n v="8"/>
    <n v="14"/>
    <n v="112"/>
    <n v="0.31"/>
    <n v="0.31"/>
    <n v="0"/>
  </r>
  <r>
    <x v="1"/>
    <x v="1"/>
    <n v="6"/>
    <n v="3.02"/>
    <n v="8"/>
    <n v="14"/>
    <n v="112"/>
    <n v="0.31"/>
    <n v="0.31"/>
    <n v="0"/>
  </r>
  <r>
    <x v="1"/>
    <x v="1"/>
    <n v="7"/>
    <n v="4.25"/>
    <n v="8"/>
    <n v="14"/>
    <n v="112"/>
    <n v="0.31"/>
    <n v="0.31"/>
    <n v="0"/>
  </r>
  <r>
    <x v="1"/>
    <x v="1"/>
    <n v="8"/>
    <n v="4.25"/>
    <n v="8"/>
    <n v="14"/>
    <n v="112"/>
    <n v="0.31"/>
    <n v="0.31"/>
    <n v="0"/>
  </r>
  <r>
    <x v="1"/>
    <x v="1"/>
    <n v="9"/>
    <n v="4.12"/>
    <n v="8"/>
    <n v="14"/>
    <n v="112"/>
    <n v="0.31"/>
    <n v="0.31"/>
    <n v="0"/>
  </r>
  <r>
    <x v="1"/>
    <x v="1"/>
    <n v="10"/>
    <n v="3.8"/>
    <n v="8"/>
    <n v="14"/>
    <n v="112"/>
    <n v="0.31"/>
    <n v="0.31"/>
    <n v="0"/>
  </r>
  <r>
    <x v="1"/>
    <x v="1"/>
    <n v="11"/>
    <n v="4.95"/>
    <n v="8"/>
    <n v="14"/>
    <n v="112"/>
    <n v="0.31"/>
    <n v="0.31"/>
    <n v="0"/>
  </r>
  <r>
    <x v="1"/>
    <x v="1"/>
    <n v="12"/>
    <n v="4.7699999999999996"/>
    <n v="8"/>
    <n v="14"/>
    <n v="112"/>
    <n v="0.31"/>
    <n v="0.31"/>
    <n v="0"/>
  </r>
  <r>
    <x v="1"/>
    <x v="1"/>
    <n v="13"/>
    <n v="5.08"/>
    <n v="8"/>
    <n v="14"/>
    <n v="112"/>
    <n v="0.31"/>
    <n v="0.31"/>
    <n v="0"/>
  </r>
  <r>
    <x v="1"/>
    <x v="1"/>
    <n v="14"/>
    <n v="5.41"/>
    <n v="8"/>
    <n v="14"/>
    <n v="112"/>
    <n v="0.31"/>
    <n v="0.31"/>
    <n v="0"/>
  </r>
  <r>
    <x v="1"/>
    <x v="1"/>
    <n v="15"/>
    <n v="5.53"/>
    <n v="8"/>
    <n v="14"/>
    <n v="112"/>
    <n v="0.31"/>
    <n v="0.31"/>
    <n v="0"/>
  </r>
  <r>
    <x v="1"/>
    <x v="1"/>
    <n v="16"/>
    <n v="5.21"/>
    <n v="8"/>
    <n v="14"/>
    <n v="112"/>
    <n v="0.31"/>
    <n v="0.31"/>
    <n v="0"/>
  </r>
  <r>
    <x v="1"/>
    <x v="1"/>
    <n v="17"/>
    <n v="5.08"/>
    <n v="8"/>
    <n v="14"/>
    <n v="112"/>
    <n v="0.31"/>
    <n v="0.31"/>
    <n v="0"/>
  </r>
  <r>
    <x v="1"/>
    <x v="1"/>
    <n v="18"/>
    <n v="5.34"/>
    <n v="8"/>
    <n v="14"/>
    <n v="112"/>
    <n v="0.31"/>
    <n v="0.31"/>
    <n v="0"/>
  </r>
  <r>
    <x v="1"/>
    <x v="1"/>
    <n v="19"/>
    <n v="4.58"/>
    <n v="8"/>
    <n v="14"/>
    <n v="112"/>
    <n v="0.31"/>
    <n v="0.31"/>
    <n v="0"/>
  </r>
  <r>
    <x v="1"/>
    <x v="1"/>
    <n v="20"/>
    <n v="4.7699999999999996"/>
    <n v="8"/>
    <n v="14"/>
    <n v="112"/>
    <n v="0.31"/>
    <n v="0.31"/>
    <n v="0"/>
  </r>
  <r>
    <x v="1"/>
    <x v="2"/>
    <n v="1"/>
    <n v="3.66"/>
    <n v="8"/>
    <n v="14"/>
    <n v="112"/>
    <n v="0.31"/>
    <n v="0.31"/>
    <n v="0"/>
  </r>
  <r>
    <x v="1"/>
    <x v="2"/>
    <n v="2"/>
    <n v="3.57"/>
    <n v="8"/>
    <n v="14"/>
    <n v="112"/>
    <n v="0.31"/>
    <n v="0.31"/>
    <n v="0"/>
  </r>
  <r>
    <x v="1"/>
    <x v="2"/>
    <n v="3"/>
    <n v="3.54"/>
    <n v="8"/>
    <n v="14"/>
    <n v="112"/>
    <n v="0.31"/>
    <n v="0.31"/>
    <n v="0"/>
  </r>
  <r>
    <x v="1"/>
    <x v="2"/>
    <n v="4"/>
    <n v="3.37"/>
    <n v="8"/>
    <n v="14"/>
    <n v="112"/>
    <n v="0.31"/>
    <n v="0.31"/>
    <n v="0"/>
  </r>
  <r>
    <x v="1"/>
    <x v="2"/>
    <n v="5"/>
    <n v="3.83"/>
    <n v="8"/>
    <n v="14"/>
    <n v="112"/>
    <n v="0.31"/>
    <n v="0.31"/>
    <n v="0"/>
  </r>
  <r>
    <x v="1"/>
    <x v="2"/>
    <n v="6"/>
    <n v="4.72"/>
    <n v="8"/>
    <n v="14"/>
    <n v="112"/>
    <n v="0.31"/>
    <n v="0.31"/>
    <n v="0"/>
  </r>
  <r>
    <x v="1"/>
    <x v="2"/>
    <n v="7"/>
    <n v="3.89"/>
    <n v="8"/>
    <n v="14"/>
    <n v="112"/>
    <n v="0.31"/>
    <n v="0.31"/>
    <n v="0"/>
  </r>
  <r>
    <x v="1"/>
    <x v="2"/>
    <n v="8"/>
    <n v="4.57"/>
    <n v="8"/>
    <n v="14"/>
    <n v="112"/>
    <n v="0.31"/>
    <n v="0.31"/>
    <n v="0"/>
  </r>
  <r>
    <x v="1"/>
    <x v="2"/>
    <n v="9"/>
    <n v="4.46"/>
    <n v="8"/>
    <n v="14"/>
    <n v="112"/>
    <n v="0.31"/>
    <n v="0.31"/>
    <n v="0"/>
  </r>
  <r>
    <x v="1"/>
    <x v="2"/>
    <n v="10"/>
    <n v="4.1399999999999997"/>
    <n v="8"/>
    <n v="14"/>
    <n v="112"/>
    <n v="0.31"/>
    <n v="0.31"/>
    <n v="0"/>
  </r>
  <r>
    <x v="1"/>
    <x v="2"/>
    <n v="11"/>
    <n v="3.19"/>
    <n v="8"/>
    <n v="14"/>
    <n v="112"/>
    <n v="0.31"/>
    <n v="0.31"/>
    <n v="0"/>
  </r>
  <r>
    <x v="1"/>
    <x v="2"/>
    <n v="12"/>
    <n v="3.24"/>
    <n v="8"/>
    <n v="14"/>
    <n v="112"/>
    <n v="0.31"/>
    <n v="0.31"/>
    <n v="0"/>
  </r>
  <r>
    <x v="1"/>
    <x v="2"/>
    <n v="13"/>
    <n v="3.12"/>
    <n v="8"/>
    <n v="14"/>
    <n v="112"/>
    <n v="0.31"/>
    <n v="0.31"/>
    <n v="0"/>
  </r>
  <r>
    <x v="1"/>
    <x v="2"/>
    <n v="14"/>
    <n v="3.31"/>
    <n v="8"/>
    <n v="14"/>
    <n v="112"/>
    <n v="0.31"/>
    <n v="0.31"/>
    <n v="0"/>
  </r>
  <r>
    <x v="1"/>
    <x v="2"/>
    <n v="15"/>
    <n v="3.23"/>
    <n v="8"/>
    <n v="14"/>
    <n v="112"/>
    <n v="0.31"/>
    <n v="0.31"/>
    <n v="0"/>
  </r>
  <r>
    <x v="1"/>
    <x v="2"/>
    <n v="16"/>
    <n v="3.81"/>
    <n v="8"/>
    <n v="14"/>
    <n v="112"/>
    <n v="0.31"/>
    <n v="0.31"/>
    <n v="0"/>
  </r>
  <r>
    <x v="1"/>
    <x v="2"/>
    <n v="17"/>
    <n v="3.64"/>
    <n v="8"/>
    <n v="14"/>
    <n v="112"/>
    <n v="0.31"/>
    <n v="0.31"/>
    <n v="0"/>
  </r>
  <r>
    <x v="1"/>
    <x v="2"/>
    <n v="18"/>
    <n v="3.54"/>
    <n v="8"/>
    <n v="14"/>
    <n v="112"/>
    <n v="0.31"/>
    <n v="0.31"/>
    <n v="0"/>
  </r>
  <r>
    <x v="1"/>
    <x v="2"/>
    <n v="19"/>
    <n v="4.7"/>
    <n v="8"/>
    <n v="14"/>
    <n v="112"/>
    <n v="0.31"/>
    <n v="0.31"/>
    <n v="0"/>
  </r>
  <r>
    <x v="1"/>
    <x v="2"/>
    <n v="20"/>
    <n v="4.58"/>
    <n v="8"/>
    <n v="14"/>
    <n v="112"/>
    <n v="0.31"/>
    <n v="0.31"/>
    <n v="0"/>
  </r>
  <r>
    <x v="1"/>
    <x v="3"/>
    <n v="1"/>
    <n v="4.22"/>
    <n v="8"/>
    <n v="14"/>
    <n v="112"/>
    <n v="0.31"/>
    <n v="0.31"/>
    <n v="0"/>
  </r>
  <r>
    <x v="1"/>
    <x v="3"/>
    <n v="2"/>
    <n v="3.8"/>
    <n v="8"/>
    <n v="14"/>
    <n v="112"/>
    <n v="0.31"/>
    <n v="0.31"/>
    <n v="0"/>
  </r>
  <r>
    <x v="1"/>
    <x v="3"/>
    <n v="3"/>
    <n v="3.1"/>
    <n v="8"/>
    <n v="14"/>
    <n v="112"/>
    <n v="0.31"/>
    <n v="0.31"/>
    <n v="0"/>
  </r>
  <r>
    <x v="1"/>
    <x v="3"/>
    <n v="4"/>
    <n v="2.31"/>
    <n v="8"/>
    <n v="14"/>
    <n v="112"/>
    <n v="0.31"/>
    <n v="0.31"/>
    <n v="0"/>
  </r>
  <r>
    <x v="1"/>
    <x v="3"/>
    <n v="5"/>
    <n v="3.72"/>
    <n v="8"/>
    <n v="14"/>
    <n v="112"/>
    <n v="0.31"/>
    <n v="0.31"/>
    <n v="0"/>
  </r>
  <r>
    <x v="1"/>
    <x v="3"/>
    <n v="6"/>
    <n v="4.37"/>
    <n v="8"/>
    <n v="14"/>
    <n v="112"/>
    <n v="0.31"/>
    <n v="0.31"/>
    <n v="0"/>
  </r>
  <r>
    <x v="1"/>
    <x v="3"/>
    <n v="7"/>
    <n v="4.12"/>
    <n v="8"/>
    <n v="14"/>
    <n v="112"/>
    <n v="0.31"/>
    <n v="0.31"/>
    <n v="0"/>
  </r>
  <r>
    <x v="1"/>
    <x v="3"/>
    <n v="8"/>
    <n v="4.29"/>
    <n v="8"/>
    <n v="14"/>
    <n v="112"/>
    <n v="0.31"/>
    <n v="0.31"/>
    <n v="0"/>
  </r>
  <r>
    <x v="1"/>
    <x v="3"/>
    <n v="9"/>
    <n v="4.4800000000000004"/>
    <n v="8"/>
    <n v="14"/>
    <n v="112"/>
    <n v="0.31"/>
    <n v="0.31"/>
    <n v="0"/>
  </r>
  <r>
    <x v="1"/>
    <x v="3"/>
    <n v="10"/>
    <n v="5.18"/>
    <n v="8"/>
    <n v="14"/>
    <n v="112"/>
    <n v="0.31"/>
    <n v="0.31"/>
    <n v="0"/>
  </r>
  <r>
    <x v="1"/>
    <x v="3"/>
    <n v="11"/>
    <n v="4.0199999999999996"/>
    <n v="8"/>
    <n v="14"/>
    <n v="112"/>
    <n v="0.31"/>
    <n v="0.31"/>
    <n v="0"/>
  </r>
  <r>
    <x v="1"/>
    <x v="3"/>
    <n v="12"/>
    <n v="4.49"/>
    <n v="8"/>
    <n v="14"/>
    <n v="112"/>
    <n v="0.31"/>
    <n v="0.31"/>
    <n v="0"/>
  </r>
  <r>
    <x v="1"/>
    <x v="3"/>
    <n v="13"/>
    <n v="4.88"/>
    <n v="8"/>
    <n v="14"/>
    <n v="112"/>
    <n v="0.31"/>
    <n v="0.31"/>
    <n v="0"/>
  </r>
  <r>
    <x v="1"/>
    <x v="3"/>
    <n v="14"/>
    <n v="4.09"/>
    <n v="8"/>
    <n v="14"/>
    <n v="112"/>
    <n v="0.31"/>
    <n v="0.31"/>
    <n v="0"/>
  </r>
  <r>
    <x v="1"/>
    <x v="3"/>
    <n v="15"/>
    <n v="4.7300000000000004"/>
    <n v="8"/>
    <n v="14"/>
    <n v="112"/>
    <n v="0.31"/>
    <n v="0.31"/>
    <n v="0"/>
  </r>
  <r>
    <x v="1"/>
    <x v="3"/>
    <n v="16"/>
    <n v="4.13"/>
    <n v="8"/>
    <n v="14"/>
    <n v="112"/>
    <n v="0.31"/>
    <n v="0.31"/>
    <n v="0"/>
  </r>
  <r>
    <x v="1"/>
    <x v="3"/>
    <n v="17"/>
    <n v="3.65"/>
    <n v="8"/>
    <n v="14"/>
    <n v="112"/>
    <n v="0.31"/>
    <n v="0.31"/>
    <n v="0"/>
  </r>
  <r>
    <x v="1"/>
    <x v="3"/>
    <n v="18"/>
    <n v="4.29"/>
    <n v="8"/>
    <n v="14"/>
    <n v="112"/>
    <n v="0.31"/>
    <n v="0.31"/>
    <n v="0"/>
  </r>
  <r>
    <x v="1"/>
    <x v="3"/>
    <n v="19"/>
    <n v="4.1500000000000004"/>
    <n v="8"/>
    <n v="14"/>
    <n v="112"/>
    <n v="0.31"/>
    <n v="0.31"/>
    <n v="0"/>
  </r>
  <r>
    <x v="1"/>
    <x v="3"/>
    <n v="20"/>
    <n v="4.07"/>
    <n v="8"/>
    <n v="14"/>
    <n v="112"/>
    <n v="0.31"/>
    <n v="0.31"/>
    <n v="0"/>
  </r>
  <r>
    <x v="2"/>
    <x v="0"/>
    <n v="1"/>
    <n v="4.5"/>
    <n v="6"/>
    <n v="12"/>
    <n v="72"/>
    <n v="0.34"/>
    <n v="0.28999999999999998"/>
    <n v="-0.14705882352941188"/>
  </r>
  <r>
    <x v="2"/>
    <x v="0"/>
    <n v="2"/>
    <n v="3.39"/>
    <n v="6"/>
    <n v="12"/>
    <n v="72"/>
    <n v="0.34"/>
    <n v="0.28999999999999998"/>
    <n v="-0.14705882352941188"/>
  </r>
  <r>
    <x v="2"/>
    <x v="0"/>
    <n v="3"/>
    <n v="4.5999999999999996"/>
    <n v="6"/>
    <n v="12"/>
    <n v="72"/>
    <n v="0.34"/>
    <n v="0.28999999999999998"/>
    <n v="-0.14705882352941188"/>
  </r>
  <r>
    <x v="2"/>
    <x v="0"/>
    <n v="4"/>
    <n v="4.55"/>
    <n v="6"/>
    <n v="12"/>
    <n v="72"/>
    <n v="0.34"/>
    <n v="0.28999999999999998"/>
    <n v="-0.14705882352941188"/>
  </r>
  <r>
    <x v="2"/>
    <x v="0"/>
    <n v="5"/>
    <n v="4.42"/>
    <n v="6"/>
    <n v="12"/>
    <n v="72"/>
    <n v="0.34"/>
    <n v="0.28999999999999998"/>
    <n v="-0.14705882352941188"/>
  </r>
  <r>
    <x v="2"/>
    <x v="0"/>
    <n v="6"/>
    <n v="5.0599999999999996"/>
    <n v="6"/>
    <n v="12"/>
    <n v="72"/>
    <n v="0.34"/>
    <n v="0.28999999999999998"/>
    <n v="-0.14705882352941188"/>
  </r>
  <r>
    <x v="2"/>
    <x v="0"/>
    <n v="7"/>
    <n v="4.4000000000000004"/>
    <n v="6"/>
    <n v="12"/>
    <n v="72"/>
    <n v="0.34"/>
    <n v="0.28999999999999998"/>
    <n v="-0.14705882352941188"/>
  </r>
  <r>
    <x v="2"/>
    <x v="0"/>
    <n v="8"/>
    <n v="4.8600000000000003"/>
    <n v="6"/>
    <n v="12"/>
    <n v="72"/>
    <n v="0.34"/>
    <n v="0.28999999999999998"/>
    <n v="-0.14705882352941188"/>
  </r>
  <r>
    <x v="2"/>
    <x v="0"/>
    <n v="9"/>
    <n v="5.03"/>
    <n v="6"/>
    <n v="12"/>
    <n v="72"/>
    <n v="0.34"/>
    <n v="0.28999999999999998"/>
    <n v="-0.14705882352941188"/>
  </r>
  <r>
    <x v="2"/>
    <x v="0"/>
    <n v="10"/>
    <n v="4.45"/>
    <n v="6"/>
    <n v="12"/>
    <n v="72"/>
    <n v="0.34"/>
    <n v="0.28999999999999998"/>
    <n v="-0.14705882352941188"/>
  </r>
  <r>
    <x v="2"/>
    <x v="0"/>
    <n v="11"/>
    <n v="4.4800000000000004"/>
    <n v="6"/>
    <n v="12"/>
    <n v="72"/>
    <n v="0.34"/>
    <n v="0.28999999999999998"/>
    <n v="-0.14705882352941188"/>
  </r>
  <r>
    <x v="2"/>
    <x v="0"/>
    <n v="12"/>
    <n v="4.88"/>
    <n v="6"/>
    <n v="12"/>
    <n v="72"/>
    <n v="0.34"/>
    <n v="0.28999999999999998"/>
    <n v="-0.14705882352941188"/>
  </r>
  <r>
    <x v="2"/>
    <x v="0"/>
    <n v="13"/>
    <n v="4.59"/>
    <n v="6"/>
    <n v="12"/>
    <n v="72"/>
    <n v="0.34"/>
    <n v="0.28999999999999998"/>
    <n v="-0.14705882352941188"/>
  </r>
  <r>
    <x v="2"/>
    <x v="0"/>
    <n v="14"/>
    <n v="4.2699999999999996"/>
    <n v="6"/>
    <n v="12"/>
    <n v="72"/>
    <n v="0.34"/>
    <n v="0.28999999999999998"/>
    <n v="-0.14705882352941188"/>
  </r>
  <r>
    <x v="2"/>
    <x v="0"/>
    <n v="15"/>
    <n v="4.28"/>
    <n v="6"/>
    <n v="12"/>
    <n v="72"/>
    <n v="0.34"/>
    <n v="0.28999999999999998"/>
    <n v="-0.14705882352941188"/>
  </r>
  <r>
    <x v="2"/>
    <x v="0"/>
    <n v="16"/>
    <n v="4.6500000000000004"/>
    <n v="6"/>
    <n v="12"/>
    <n v="72"/>
    <n v="0.34"/>
    <n v="0.28999999999999998"/>
    <n v="-0.14705882352941188"/>
  </r>
  <r>
    <x v="2"/>
    <x v="0"/>
    <n v="17"/>
    <n v="4.79"/>
    <n v="6"/>
    <n v="12"/>
    <n v="72"/>
    <n v="0.34"/>
    <n v="0.28999999999999998"/>
    <n v="-0.14705882352941188"/>
  </r>
  <r>
    <x v="2"/>
    <x v="0"/>
    <n v="18"/>
    <n v="3.89"/>
    <n v="6"/>
    <n v="12"/>
    <n v="72"/>
    <n v="0.34"/>
    <n v="0.28999999999999998"/>
    <n v="-0.14705882352941188"/>
  </r>
  <r>
    <x v="2"/>
    <x v="0"/>
    <n v="19"/>
    <n v="3.09"/>
    <n v="6"/>
    <n v="12"/>
    <n v="72"/>
    <n v="0.34"/>
    <n v="0.28999999999999998"/>
    <n v="-0.14705882352941188"/>
  </r>
  <r>
    <x v="2"/>
    <x v="0"/>
    <n v="20"/>
    <n v="3.09"/>
    <n v="6"/>
    <n v="12"/>
    <n v="72"/>
    <n v="0.34"/>
    <n v="0.28999999999999998"/>
    <n v="-0.14705882352941188"/>
  </r>
  <r>
    <x v="2"/>
    <x v="1"/>
    <n v="1"/>
    <n v="5.14"/>
    <n v="6"/>
    <n v="12"/>
    <n v="72"/>
    <n v="0.34"/>
    <n v="0.28999999999999998"/>
    <n v="-0.14705882352941188"/>
  </r>
  <r>
    <x v="2"/>
    <x v="1"/>
    <n v="2"/>
    <n v="4.55"/>
    <n v="6"/>
    <n v="12"/>
    <n v="72"/>
    <n v="0.34"/>
    <n v="0.28999999999999998"/>
    <n v="-0.14705882352941188"/>
  </r>
  <r>
    <x v="2"/>
    <x v="1"/>
    <n v="3"/>
    <n v="4.55"/>
    <n v="6"/>
    <n v="12"/>
    <n v="72"/>
    <n v="0.34"/>
    <n v="0.28999999999999998"/>
    <n v="-0.14705882352941188"/>
  </r>
  <r>
    <x v="2"/>
    <x v="1"/>
    <n v="4"/>
    <n v="5.03"/>
    <n v="6"/>
    <n v="12"/>
    <n v="72"/>
    <n v="0.34"/>
    <n v="0.28999999999999998"/>
    <n v="-0.14705882352941188"/>
  </r>
  <r>
    <x v="2"/>
    <x v="1"/>
    <n v="5"/>
    <n v="4.5999999999999996"/>
    <n v="6"/>
    <n v="12"/>
    <n v="72"/>
    <n v="0.34"/>
    <n v="0.28999999999999998"/>
    <n v="-0.14705882352941188"/>
  </r>
  <r>
    <x v="2"/>
    <x v="1"/>
    <n v="6"/>
    <n v="6.03"/>
    <n v="6"/>
    <n v="12"/>
    <n v="72"/>
    <n v="0.34"/>
    <n v="0.28999999999999998"/>
    <n v="-0.14705882352941188"/>
  </r>
  <r>
    <x v="2"/>
    <x v="1"/>
    <n v="7"/>
    <n v="4.76"/>
    <n v="6"/>
    <n v="12"/>
    <n v="72"/>
    <n v="0.34"/>
    <n v="0.28999999999999998"/>
    <n v="-0.14705882352941188"/>
  </r>
  <r>
    <x v="2"/>
    <x v="1"/>
    <n v="8"/>
    <n v="4.88"/>
    <n v="6"/>
    <n v="12"/>
    <n v="72"/>
    <n v="0.34"/>
    <n v="0.28999999999999998"/>
    <n v="-0.14705882352941188"/>
  </r>
  <r>
    <x v="2"/>
    <x v="1"/>
    <n v="9"/>
    <n v="4.21"/>
    <n v="6"/>
    <n v="12"/>
    <n v="72"/>
    <n v="0.34"/>
    <n v="0.28999999999999998"/>
    <n v="-0.14705882352941188"/>
  </r>
  <r>
    <x v="2"/>
    <x v="1"/>
    <n v="10"/>
    <n v="4.03"/>
    <n v="6"/>
    <n v="12"/>
    <n v="72"/>
    <n v="0.34"/>
    <n v="0.28999999999999998"/>
    <n v="-0.14705882352941188"/>
  </r>
  <r>
    <x v="2"/>
    <x v="1"/>
    <n v="11"/>
    <n v="4.32"/>
    <n v="6"/>
    <n v="12"/>
    <n v="72"/>
    <n v="0.34"/>
    <n v="0.28999999999999998"/>
    <n v="-0.14705882352941188"/>
  </r>
  <r>
    <x v="2"/>
    <x v="1"/>
    <n v="12"/>
    <n v="4.04"/>
    <n v="6"/>
    <n v="12"/>
    <n v="72"/>
    <n v="0.34"/>
    <n v="0.28999999999999998"/>
    <n v="-0.14705882352941188"/>
  </r>
  <r>
    <x v="2"/>
    <x v="1"/>
    <n v="13"/>
    <n v="5.0999999999999996"/>
    <n v="6"/>
    <n v="12"/>
    <n v="72"/>
    <n v="0.34"/>
    <n v="0.28999999999999998"/>
    <n v="-0.14705882352941188"/>
  </r>
  <r>
    <x v="2"/>
    <x v="1"/>
    <n v="14"/>
    <n v="5.01"/>
    <n v="6"/>
    <n v="12"/>
    <n v="72"/>
    <n v="0.34"/>
    <n v="0.28999999999999998"/>
    <n v="-0.14705882352941188"/>
  </r>
  <r>
    <x v="2"/>
    <x v="1"/>
    <n v="15"/>
    <n v="5.24"/>
    <n v="6"/>
    <n v="12"/>
    <n v="72"/>
    <n v="0.34"/>
    <n v="0.28999999999999998"/>
    <n v="-0.14705882352941188"/>
  </r>
  <r>
    <x v="2"/>
    <x v="1"/>
    <n v="16"/>
    <n v="5.0199999999999996"/>
    <n v="6"/>
    <n v="12"/>
    <n v="72"/>
    <n v="0.34"/>
    <n v="0.28999999999999998"/>
    <n v="-0.14705882352941188"/>
  </r>
  <r>
    <x v="2"/>
    <x v="1"/>
    <n v="17"/>
    <n v="5.0599999999999996"/>
    <n v="6"/>
    <n v="12"/>
    <n v="72"/>
    <n v="0.34"/>
    <n v="0.28999999999999998"/>
    <n v="-0.14705882352941188"/>
  </r>
  <r>
    <x v="2"/>
    <x v="1"/>
    <n v="18"/>
    <n v="4.72"/>
    <n v="6"/>
    <n v="12"/>
    <n v="72"/>
    <n v="0.34"/>
    <n v="0.28999999999999998"/>
    <n v="-0.14705882352941188"/>
  </r>
  <r>
    <x v="2"/>
    <x v="1"/>
    <n v="19"/>
    <n v="4.55"/>
    <n v="6"/>
    <n v="12"/>
    <n v="72"/>
    <n v="0.34"/>
    <n v="0.28999999999999998"/>
    <n v="-0.14705882352941188"/>
  </r>
  <r>
    <x v="2"/>
    <x v="1"/>
    <n v="20"/>
    <n v="4.32"/>
    <n v="6"/>
    <n v="12"/>
    <n v="72"/>
    <n v="0.34"/>
    <n v="0.28999999999999998"/>
    <n v="-0.14705882352941188"/>
  </r>
  <r>
    <x v="2"/>
    <x v="2"/>
    <n v="1"/>
    <n v="5.54"/>
    <n v="6"/>
    <n v="12"/>
    <n v="72"/>
    <n v="0.34"/>
    <n v="0.28999999999999998"/>
    <n v="-0.14705882352941188"/>
  </r>
  <r>
    <x v="2"/>
    <x v="2"/>
    <n v="2"/>
    <n v="4.66"/>
    <n v="6"/>
    <n v="12"/>
    <n v="72"/>
    <n v="0.34"/>
    <n v="0.28999999999999998"/>
    <n v="-0.14705882352941188"/>
  </r>
  <r>
    <x v="2"/>
    <x v="2"/>
    <n v="3"/>
    <n v="5.33"/>
    <n v="6"/>
    <n v="12"/>
    <n v="72"/>
    <n v="0.34"/>
    <n v="0.28999999999999998"/>
    <n v="-0.14705882352941188"/>
  </r>
  <r>
    <x v="2"/>
    <x v="2"/>
    <n v="4"/>
    <n v="4.74"/>
    <n v="6"/>
    <n v="12"/>
    <n v="72"/>
    <n v="0.34"/>
    <n v="0.28999999999999998"/>
    <n v="-0.14705882352941188"/>
  </r>
  <r>
    <x v="2"/>
    <x v="2"/>
    <n v="5"/>
    <n v="3.79"/>
    <n v="6"/>
    <n v="12"/>
    <n v="72"/>
    <n v="0.34"/>
    <n v="0.28999999999999998"/>
    <n v="-0.14705882352941188"/>
  </r>
  <r>
    <x v="2"/>
    <x v="2"/>
    <n v="6"/>
    <n v="4.22"/>
    <n v="6"/>
    <n v="12"/>
    <n v="72"/>
    <n v="0.34"/>
    <n v="0.28999999999999998"/>
    <n v="-0.14705882352941188"/>
  </r>
  <r>
    <x v="2"/>
    <x v="2"/>
    <n v="7"/>
    <n v="4.6900000000000004"/>
    <n v="6"/>
    <n v="12"/>
    <n v="72"/>
    <n v="0.34"/>
    <n v="0.28999999999999998"/>
    <n v="-0.14705882352941188"/>
  </r>
  <r>
    <x v="2"/>
    <x v="2"/>
    <n v="8"/>
    <n v="4.6100000000000003"/>
    <n v="6"/>
    <n v="12"/>
    <n v="72"/>
    <n v="0.34"/>
    <n v="0.28999999999999998"/>
    <n v="-0.14705882352941188"/>
  </r>
  <r>
    <x v="2"/>
    <x v="2"/>
    <n v="9"/>
    <n v="4.7300000000000004"/>
    <n v="6"/>
    <n v="12"/>
    <n v="72"/>
    <n v="0.34"/>
    <n v="0.28999999999999998"/>
    <n v="-0.14705882352941188"/>
  </r>
  <r>
    <x v="2"/>
    <x v="2"/>
    <n v="10"/>
    <n v="5.2"/>
    <n v="6"/>
    <n v="12"/>
    <n v="72"/>
    <n v="0.34"/>
    <n v="0.28999999999999998"/>
    <n v="-0.14705882352941188"/>
  </r>
  <r>
    <x v="2"/>
    <x v="2"/>
    <n v="11"/>
    <n v="5.85"/>
    <n v="6"/>
    <n v="12"/>
    <n v="72"/>
    <n v="0.34"/>
    <n v="0.28999999999999998"/>
    <n v="-0.14705882352941188"/>
  </r>
  <r>
    <x v="2"/>
    <x v="2"/>
    <n v="12"/>
    <n v="4.43"/>
    <n v="6"/>
    <n v="12"/>
    <n v="72"/>
    <n v="0.34"/>
    <n v="0.28999999999999998"/>
    <n v="-0.14705882352941188"/>
  </r>
  <r>
    <x v="2"/>
    <x v="2"/>
    <n v="13"/>
    <n v="4.76"/>
    <n v="6"/>
    <n v="12"/>
    <n v="72"/>
    <n v="0.34"/>
    <n v="0.28999999999999998"/>
    <n v="-0.14705882352941188"/>
  </r>
  <r>
    <x v="2"/>
    <x v="2"/>
    <n v="14"/>
    <n v="4.72"/>
    <n v="6"/>
    <n v="12"/>
    <n v="72"/>
    <n v="0.34"/>
    <n v="0.28999999999999998"/>
    <n v="-0.14705882352941188"/>
  </r>
  <r>
    <x v="2"/>
    <x v="2"/>
    <n v="15"/>
    <n v="5.25"/>
    <n v="6"/>
    <n v="12"/>
    <n v="72"/>
    <n v="0.34"/>
    <n v="0.28999999999999998"/>
    <n v="-0.14705882352941188"/>
  </r>
  <r>
    <x v="2"/>
    <x v="2"/>
    <n v="16"/>
    <n v="5.73"/>
    <n v="6"/>
    <n v="12"/>
    <n v="72"/>
    <n v="0.34"/>
    <n v="0.28999999999999998"/>
    <n v="-0.14705882352941188"/>
  </r>
  <r>
    <x v="2"/>
    <x v="2"/>
    <n v="17"/>
    <n v="4.79"/>
    <n v="6"/>
    <n v="12"/>
    <n v="72"/>
    <n v="0.34"/>
    <n v="0.28999999999999998"/>
    <n v="-0.14705882352941188"/>
  </r>
  <r>
    <x v="2"/>
    <x v="2"/>
    <n v="18"/>
    <n v="5.34"/>
    <n v="6"/>
    <n v="12"/>
    <n v="72"/>
    <n v="0.34"/>
    <n v="0.28999999999999998"/>
    <n v="-0.14705882352941188"/>
  </r>
  <r>
    <x v="2"/>
    <x v="2"/>
    <n v="19"/>
    <n v="7.78"/>
    <n v="6"/>
    <n v="12"/>
    <n v="72"/>
    <n v="0.34"/>
    <n v="0.28999999999999998"/>
    <n v="-0.14705882352941188"/>
  </r>
  <r>
    <x v="2"/>
    <x v="2"/>
    <n v="20"/>
    <n v="4.66"/>
    <n v="6"/>
    <n v="12"/>
    <n v="72"/>
    <n v="0.34"/>
    <n v="0.28999999999999998"/>
    <n v="-0.14705882352941188"/>
  </r>
  <r>
    <x v="2"/>
    <x v="3"/>
    <n v="1"/>
    <n v="6.55"/>
    <n v="6"/>
    <n v="12"/>
    <n v="72"/>
    <n v="0.34"/>
    <n v="0.28999999999999998"/>
    <n v="-0.14705882352941188"/>
  </r>
  <r>
    <x v="2"/>
    <x v="3"/>
    <n v="2"/>
    <n v="6.19"/>
    <n v="6"/>
    <n v="12"/>
    <n v="72"/>
    <n v="0.34"/>
    <n v="0.28999999999999998"/>
    <n v="-0.14705882352941188"/>
  </r>
  <r>
    <x v="2"/>
    <x v="3"/>
    <n v="3"/>
    <n v="6.29"/>
    <n v="6"/>
    <n v="12"/>
    <n v="72"/>
    <n v="0.34"/>
    <n v="0.28999999999999998"/>
    <n v="-0.14705882352941188"/>
  </r>
  <r>
    <x v="2"/>
    <x v="3"/>
    <n v="4"/>
    <n v="6.56"/>
    <n v="6"/>
    <n v="12"/>
    <n v="72"/>
    <n v="0.34"/>
    <n v="0.28999999999999998"/>
    <n v="-0.14705882352941188"/>
  </r>
  <r>
    <x v="2"/>
    <x v="3"/>
    <n v="5"/>
    <n v="6.69"/>
    <n v="6"/>
    <n v="12"/>
    <n v="72"/>
    <n v="0.34"/>
    <n v="0.28999999999999998"/>
    <n v="-0.14705882352941188"/>
  </r>
  <r>
    <x v="2"/>
    <x v="3"/>
    <n v="6"/>
    <n v="6.84"/>
    <n v="6"/>
    <n v="12"/>
    <n v="72"/>
    <n v="0.34"/>
    <n v="0.28999999999999998"/>
    <n v="-0.14705882352941188"/>
  </r>
  <r>
    <x v="2"/>
    <x v="3"/>
    <n v="7"/>
    <n v="6.79"/>
    <n v="6"/>
    <n v="12"/>
    <n v="72"/>
    <n v="0.34"/>
    <n v="0.28999999999999998"/>
    <n v="-0.14705882352941188"/>
  </r>
  <r>
    <x v="2"/>
    <x v="3"/>
    <n v="8"/>
    <n v="6.92"/>
    <n v="6"/>
    <n v="12"/>
    <n v="72"/>
    <n v="0.34"/>
    <n v="0.28999999999999998"/>
    <n v="-0.14705882352941188"/>
  </r>
  <r>
    <x v="2"/>
    <x v="3"/>
    <n v="9"/>
    <n v="6.73"/>
    <n v="6"/>
    <n v="12"/>
    <n v="72"/>
    <n v="0.34"/>
    <n v="0.28999999999999998"/>
    <n v="-0.14705882352941188"/>
  </r>
  <r>
    <x v="2"/>
    <x v="3"/>
    <n v="10"/>
    <n v="6.93"/>
    <n v="6"/>
    <n v="12"/>
    <n v="72"/>
    <n v="0.34"/>
    <n v="0.28999999999999998"/>
    <n v="-0.14705882352941188"/>
  </r>
  <r>
    <x v="2"/>
    <x v="3"/>
    <n v="11"/>
    <n v="8.0399999999999991"/>
    <n v="6"/>
    <n v="12"/>
    <n v="72"/>
    <n v="0.34"/>
    <n v="0.28999999999999998"/>
    <n v="-0.14705882352941188"/>
  </r>
  <r>
    <x v="2"/>
    <x v="3"/>
    <n v="12"/>
    <n v="7.1"/>
    <n v="6"/>
    <n v="12"/>
    <n v="72"/>
    <n v="0.34"/>
    <n v="0.28999999999999998"/>
    <n v="-0.14705882352941188"/>
  </r>
  <r>
    <x v="2"/>
    <x v="3"/>
    <n v="13"/>
    <n v="7.01"/>
    <n v="6"/>
    <n v="12"/>
    <n v="72"/>
    <n v="0.34"/>
    <n v="0.28999999999999998"/>
    <n v="-0.14705882352941188"/>
  </r>
  <r>
    <x v="2"/>
    <x v="3"/>
    <n v="14"/>
    <n v="5.58"/>
    <n v="6"/>
    <n v="12"/>
    <n v="72"/>
    <n v="0.34"/>
    <n v="0.28999999999999998"/>
    <n v="-0.14705882352941188"/>
  </r>
  <r>
    <x v="2"/>
    <x v="3"/>
    <n v="15"/>
    <n v="5.46"/>
    <n v="6"/>
    <n v="12"/>
    <n v="72"/>
    <n v="0.34"/>
    <n v="0.28999999999999998"/>
    <n v="-0.14705882352941188"/>
  </r>
  <r>
    <x v="2"/>
    <x v="3"/>
    <n v="16"/>
    <n v="5.48"/>
    <n v="6"/>
    <n v="12"/>
    <n v="72"/>
    <n v="0.34"/>
    <n v="0.28999999999999998"/>
    <n v="-0.14705882352941188"/>
  </r>
  <r>
    <x v="2"/>
    <x v="3"/>
    <n v="17"/>
    <n v="5.67"/>
    <n v="6"/>
    <n v="12"/>
    <n v="72"/>
    <n v="0.34"/>
    <n v="0.28999999999999998"/>
    <n v="-0.14705882352941188"/>
  </r>
  <r>
    <x v="2"/>
    <x v="3"/>
    <n v="18"/>
    <n v="5.05"/>
    <n v="6"/>
    <n v="12"/>
    <n v="72"/>
    <n v="0.34"/>
    <n v="0.28999999999999998"/>
    <n v="-0.14705882352941188"/>
  </r>
  <r>
    <x v="2"/>
    <x v="3"/>
    <n v="19"/>
    <n v="6.42"/>
    <n v="6"/>
    <n v="12"/>
    <n v="72"/>
    <n v="0.34"/>
    <n v="0.28999999999999998"/>
    <n v="-0.14705882352941188"/>
  </r>
  <r>
    <x v="2"/>
    <x v="3"/>
    <n v="20"/>
    <n v="5.94"/>
    <n v="6"/>
    <n v="12"/>
    <n v="72"/>
    <n v="0.34"/>
    <n v="0.28999999999999998"/>
    <n v="-0.14705882352941188"/>
  </r>
  <r>
    <x v="3"/>
    <x v="0"/>
    <n v="1"/>
    <n v="4.6500000000000004"/>
    <n v="8"/>
    <n v="12"/>
    <n v="96"/>
    <n v="0.3"/>
    <n v="0.28000000000000003"/>
    <n v="-6.6666666666666541E-2"/>
  </r>
  <r>
    <x v="3"/>
    <x v="0"/>
    <n v="2"/>
    <n v="5.48"/>
    <n v="8"/>
    <n v="12"/>
    <n v="96"/>
    <n v="0.3"/>
    <n v="0.28000000000000003"/>
    <n v="-6.6666666666666541E-2"/>
  </r>
  <r>
    <x v="3"/>
    <x v="0"/>
    <n v="3"/>
    <n v="5.4"/>
    <n v="8"/>
    <n v="12"/>
    <n v="96"/>
    <n v="0.3"/>
    <n v="0.28000000000000003"/>
    <n v="-6.6666666666666541E-2"/>
  </r>
  <r>
    <x v="3"/>
    <x v="0"/>
    <n v="4"/>
    <n v="5.08"/>
    <n v="8"/>
    <n v="12"/>
    <n v="96"/>
    <n v="0.3"/>
    <n v="0.28000000000000003"/>
    <n v="-6.6666666666666541E-2"/>
  </r>
  <r>
    <x v="3"/>
    <x v="0"/>
    <n v="5"/>
    <n v="5.47"/>
    <n v="8"/>
    <n v="12"/>
    <n v="96"/>
    <n v="0.3"/>
    <n v="0.28000000000000003"/>
    <n v="-6.6666666666666541E-2"/>
  </r>
  <r>
    <x v="3"/>
    <x v="0"/>
    <n v="6"/>
    <n v="5.09"/>
    <n v="8"/>
    <n v="12"/>
    <n v="96"/>
    <n v="0.3"/>
    <n v="0.28000000000000003"/>
    <n v="-6.6666666666666541E-2"/>
  </r>
  <r>
    <x v="3"/>
    <x v="0"/>
    <n v="7"/>
    <n v="5.59"/>
    <n v="8"/>
    <n v="12"/>
    <n v="96"/>
    <n v="0.3"/>
    <n v="0.28000000000000003"/>
    <n v="-6.6666666666666541E-2"/>
  </r>
  <r>
    <x v="3"/>
    <x v="0"/>
    <n v="8"/>
    <n v="5.53"/>
    <n v="8"/>
    <n v="12"/>
    <n v="96"/>
    <n v="0.3"/>
    <n v="0.28000000000000003"/>
    <n v="-6.6666666666666541E-2"/>
  </r>
  <r>
    <x v="3"/>
    <x v="0"/>
    <n v="9"/>
    <n v="5.59"/>
    <n v="8"/>
    <n v="12"/>
    <n v="96"/>
    <n v="0.3"/>
    <n v="0.28000000000000003"/>
    <n v="-6.6666666666666541E-2"/>
  </r>
  <r>
    <x v="3"/>
    <x v="0"/>
    <n v="10"/>
    <n v="5.6"/>
    <n v="8"/>
    <n v="12"/>
    <n v="96"/>
    <n v="0.3"/>
    <n v="0.28000000000000003"/>
    <n v="-6.6666666666666541E-2"/>
  </r>
  <r>
    <x v="3"/>
    <x v="0"/>
    <n v="11"/>
    <n v="6.19"/>
    <n v="8"/>
    <n v="12"/>
    <n v="96"/>
    <n v="0.3"/>
    <n v="0.28000000000000003"/>
    <n v="-6.6666666666666541E-2"/>
  </r>
  <r>
    <x v="3"/>
    <x v="0"/>
    <n v="12"/>
    <n v="5.3"/>
    <n v="8"/>
    <n v="12"/>
    <n v="96"/>
    <n v="0.3"/>
    <n v="0.28000000000000003"/>
    <n v="-6.6666666666666541E-2"/>
  </r>
  <r>
    <x v="3"/>
    <x v="0"/>
    <n v="13"/>
    <n v="4.63"/>
    <n v="8"/>
    <n v="12"/>
    <n v="96"/>
    <n v="0.3"/>
    <n v="0.28000000000000003"/>
    <n v="-6.6666666666666541E-2"/>
  </r>
  <r>
    <x v="3"/>
    <x v="0"/>
    <n v="14"/>
    <n v="3.89"/>
    <n v="8"/>
    <n v="12"/>
    <n v="96"/>
    <n v="0.3"/>
    <n v="0.28000000000000003"/>
    <n v="-6.6666666666666541E-2"/>
  </r>
  <r>
    <x v="3"/>
    <x v="0"/>
    <n v="15"/>
    <n v="4.1900000000000004"/>
    <n v="8"/>
    <n v="12"/>
    <n v="96"/>
    <n v="0.3"/>
    <n v="0.28000000000000003"/>
    <n v="-6.6666666666666541E-2"/>
  </r>
  <r>
    <x v="3"/>
    <x v="0"/>
    <n v="16"/>
    <n v="3.38"/>
    <n v="8"/>
    <n v="12"/>
    <n v="96"/>
    <n v="0.3"/>
    <n v="0.28000000000000003"/>
    <n v="-6.6666666666666541E-2"/>
  </r>
  <r>
    <x v="3"/>
    <x v="0"/>
    <n v="17"/>
    <n v="4.3899999999999997"/>
    <n v="8"/>
    <n v="12"/>
    <n v="96"/>
    <n v="0.3"/>
    <n v="0.28000000000000003"/>
    <n v="-6.6666666666666541E-2"/>
  </r>
  <r>
    <x v="3"/>
    <x v="0"/>
    <n v="18"/>
    <n v="4.37"/>
    <n v="8"/>
    <n v="12"/>
    <n v="96"/>
    <n v="0.3"/>
    <n v="0.28000000000000003"/>
    <n v="-6.6666666666666541E-2"/>
  </r>
  <r>
    <x v="3"/>
    <x v="0"/>
    <n v="19"/>
    <n v="4.58"/>
    <n v="8"/>
    <n v="12"/>
    <n v="96"/>
    <n v="0.3"/>
    <n v="0.28000000000000003"/>
    <n v="-6.6666666666666541E-2"/>
  </r>
  <r>
    <x v="3"/>
    <x v="0"/>
    <n v="20"/>
    <n v="4.53"/>
    <n v="8"/>
    <n v="12"/>
    <n v="96"/>
    <n v="0.3"/>
    <n v="0.28000000000000003"/>
    <n v="-6.6666666666666541E-2"/>
  </r>
  <r>
    <x v="3"/>
    <x v="1"/>
    <n v="1"/>
    <n v="3.49"/>
    <n v="8"/>
    <n v="12"/>
    <n v="96"/>
    <n v="0.3"/>
    <n v="0.28000000000000003"/>
    <n v="-6.6666666666666541E-2"/>
  </r>
  <r>
    <x v="3"/>
    <x v="1"/>
    <n v="2"/>
    <n v="3.05"/>
    <n v="8"/>
    <n v="12"/>
    <n v="96"/>
    <n v="0.3"/>
    <n v="0.28000000000000003"/>
    <n v="-6.6666666666666541E-2"/>
  </r>
  <r>
    <x v="3"/>
    <x v="1"/>
    <n v="3"/>
    <n v="3.09"/>
    <n v="8"/>
    <n v="12"/>
    <n v="96"/>
    <n v="0.3"/>
    <n v="0.28000000000000003"/>
    <n v="-6.6666666666666541E-2"/>
  </r>
  <r>
    <x v="3"/>
    <x v="1"/>
    <n v="4"/>
    <n v="3.37"/>
    <n v="8"/>
    <n v="12"/>
    <n v="96"/>
    <n v="0.3"/>
    <n v="0.28000000000000003"/>
    <n v="-6.6666666666666541E-2"/>
  </r>
  <r>
    <x v="3"/>
    <x v="1"/>
    <n v="5"/>
    <n v="3.1"/>
    <n v="8"/>
    <n v="12"/>
    <n v="96"/>
    <n v="0.3"/>
    <n v="0.28000000000000003"/>
    <n v="-6.6666666666666541E-2"/>
  </r>
  <r>
    <x v="3"/>
    <x v="1"/>
    <n v="6"/>
    <n v="3.05"/>
    <n v="8"/>
    <n v="12"/>
    <n v="96"/>
    <n v="0.3"/>
    <n v="0.28000000000000003"/>
    <n v="-6.6666666666666541E-2"/>
  </r>
  <r>
    <x v="3"/>
    <x v="1"/>
    <n v="7"/>
    <n v="4.16"/>
    <n v="8"/>
    <n v="12"/>
    <n v="96"/>
    <n v="0.3"/>
    <n v="0.28000000000000003"/>
    <n v="-6.6666666666666541E-2"/>
  </r>
  <r>
    <x v="3"/>
    <x v="1"/>
    <n v="8"/>
    <n v="4.0599999999999996"/>
    <n v="8"/>
    <n v="12"/>
    <n v="96"/>
    <n v="0.3"/>
    <n v="0.28000000000000003"/>
    <n v="-6.6666666666666541E-2"/>
  </r>
  <r>
    <x v="3"/>
    <x v="1"/>
    <n v="9"/>
    <n v="4.46"/>
    <n v="8"/>
    <n v="12"/>
    <n v="96"/>
    <n v="0.3"/>
    <n v="0.28000000000000003"/>
    <n v="-6.6666666666666541E-2"/>
  </r>
  <r>
    <x v="3"/>
    <x v="1"/>
    <n v="10"/>
    <n v="3.38"/>
    <n v="8"/>
    <n v="12"/>
    <n v="96"/>
    <n v="0.3"/>
    <n v="0.28000000000000003"/>
    <n v="-6.6666666666666541E-2"/>
  </r>
  <r>
    <x v="3"/>
    <x v="1"/>
    <n v="11"/>
    <n v="3.88"/>
    <n v="8"/>
    <n v="12"/>
    <n v="96"/>
    <n v="0.3"/>
    <n v="0.28000000000000003"/>
    <n v="-6.6666666666666541E-2"/>
  </r>
  <r>
    <x v="3"/>
    <x v="1"/>
    <n v="12"/>
    <n v="4.1100000000000003"/>
    <n v="8"/>
    <n v="12"/>
    <n v="96"/>
    <n v="0.3"/>
    <n v="0.28000000000000003"/>
    <n v="-6.6666666666666541E-2"/>
  </r>
  <r>
    <x v="3"/>
    <x v="1"/>
    <n v="13"/>
    <n v="4.1500000000000004"/>
    <n v="8"/>
    <n v="12"/>
    <n v="96"/>
    <n v="0.3"/>
    <n v="0.28000000000000003"/>
    <n v="-6.6666666666666541E-2"/>
  </r>
  <r>
    <x v="3"/>
    <x v="1"/>
    <n v="14"/>
    <n v="4.74"/>
    <n v="8"/>
    <n v="12"/>
    <n v="96"/>
    <n v="0.3"/>
    <n v="0.28000000000000003"/>
    <n v="-6.6666666666666541E-2"/>
  </r>
  <r>
    <x v="3"/>
    <x v="1"/>
    <n v="15"/>
    <n v="3.39"/>
    <n v="8"/>
    <n v="12"/>
    <n v="96"/>
    <n v="0.3"/>
    <n v="0.28000000000000003"/>
    <n v="-6.6666666666666541E-2"/>
  </r>
  <r>
    <x v="3"/>
    <x v="1"/>
    <n v="16"/>
    <n v="3.71"/>
    <n v="8"/>
    <n v="12"/>
    <n v="96"/>
    <n v="0.3"/>
    <n v="0.28000000000000003"/>
    <n v="-6.6666666666666541E-2"/>
  </r>
  <r>
    <x v="3"/>
    <x v="1"/>
    <n v="17"/>
    <n v="4.41"/>
    <n v="8"/>
    <n v="12"/>
    <n v="96"/>
    <n v="0.3"/>
    <n v="0.28000000000000003"/>
    <n v="-6.6666666666666541E-2"/>
  </r>
  <r>
    <x v="3"/>
    <x v="1"/>
    <n v="18"/>
    <n v="3.03"/>
    <n v="8"/>
    <n v="12"/>
    <n v="96"/>
    <n v="0.3"/>
    <n v="0.28000000000000003"/>
    <n v="-6.6666666666666541E-2"/>
  </r>
  <r>
    <x v="3"/>
    <x v="1"/>
    <n v="19"/>
    <n v="3.89"/>
    <n v="8"/>
    <n v="12"/>
    <n v="96"/>
    <n v="0.3"/>
    <n v="0.28000000000000003"/>
    <n v="-6.6666666666666541E-2"/>
  </r>
  <r>
    <x v="3"/>
    <x v="1"/>
    <n v="20"/>
    <n v="4.24"/>
    <n v="8"/>
    <n v="12"/>
    <n v="96"/>
    <n v="0.3"/>
    <n v="0.28000000000000003"/>
    <n v="-6.6666666666666541E-2"/>
  </r>
  <r>
    <x v="3"/>
    <x v="2"/>
    <n v="1"/>
    <n v="4.05"/>
    <n v="8"/>
    <n v="12"/>
    <n v="96"/>
    <n v="0.3"/>
    <n v="0.28000000000000003"/>
    <n v="-6.6666666666666541E-2"/>
  </r>
  <r>
    <x v="3"/>
    <x v="2"/>
    <n v="2"/>
    <n v="3.73"/>
    <n v="8"/>
    <n v="12"/>
    <n v="96"/>
    <n v="0.3"/>
    <n v="0.28000000000000003"/>
    <n v="-6.6666666666666541E-2"/>
  </r>
  <r>
    <x v="3"/>
    <x v="2"/>
    <n v="3"/>
    <n v="3.62"/>
    <n v="8"/>
    <n v="12"/>
    <n v="96"/>
    <n v="0.3"/>
    <n v="0.28000000000000003"/>
    <n v="-6.6666666666666541E-2"/>
  </r>
  <r>
    <x v="3"/>
    <x v="2"/>
    <n v="4"/>
    <n v="3.15"/>
    <n v="8"/>
    <n v="12"/>
    <n v="96"/>
    <n v="0.3"/>
    <n v="0.28000000000000003"/>
    <n v="-6.6666666666666541E-2"/>
  </r>
  <r>
    <x v="3"/>
    <x v="2"/>
    <n v="5"/>
    <n v="3.09"/>
    <n v="8"/>
    <n v="12"/>
    <n v="96"/>
    <n v="0.3"/>
    <n v="0.28000000000000003"/>
    <n v="-6.6666666666666541E-2"/>
  </r>
  <r>
    <x v="3"/>
    <x v="2"/>
    <n v="6"/>
    <n v="3.99"/>
    <n v="8"/>
    <n v="12"/>
    <n v="96"/>
    <n v="0.3"/>
    <n v="0.28000000000000003"/>
    <n v="-6.6666666666666541E-2"/>
  </r>
  <r>
    <x v="3"/>
    <x v="2"/>
    <n v="7"/>
    <n v="4.24"/>
    <n v="8"/>
    <n v="12"/>
    <n v="96"/>
    <n v="0.3"/>
    <n v="0.28000000000000003"/>
    <n v="-6.6666666666666541E-2"/>
  </r>
  <r>
    <x v="3"/>
    <x v="2"/>
    <n v="8"/>
    <n v="3.98"/>
    <n v="8"/>
    <n v="12"/>
    <n v="96"/>
    <n v="0.3"/>
    <n v="0.28000000000000003"/>
    <n v="-6.6666666666666541E-2"/>
  </r>
  <r>
    <x v="3"/>
    <x v="2"/>
    <n v="9"/>
    <n v="3.6"/>
    <n v="8"/>
    <n v="12"/>
    <n v="96"/>
    <n v="0.3"/>
    <n v="0.28000000000000003"/>
    <n v="-6.6666666666666541E-2"/>
  </r>
  <r>
    <x v="3"/>
    <x v="2"/>
    <n v="10"/>
    <n v="4.05"/>
    <n v="8"/>
    <n v="12"/>
    <n v="96"/>
    <n v="0.3"/>
    <n v="0.28000000000000003"/>
    <n v="-6.6666666666666541E-2"/>
  </r>
  <r>
    <x v="3"/>
    <x v="2"/>
    <n v="11"/>
    <n v="2.39"/>
    <n v="8"/>
    <n v="12"/>
    <n v="96"/>
    <n v="0.3"/>
    <n v="0.28000000000000003"/>
    <n v="-6.6666666666666541E-2"/>
  </r>
  <r>
    <x v="3"/>
    <x v="2"/>
    <n v="12"/>
    <n v="3.35"/>
    <n v="8"/>
    <n v="12"/>
    <n v="96"/>
    <n v="0.3"/>
    <n v="0.28000000000000003"/>
    <n v="-6.6666666666666541E-2"/>
  </r>
  <r>
    <x v="3"/>
    <x v="2"/>
    <n v="13"/>
    <n v="2.96"/>
    <n v="8"/>
    <n v="12"/>
    <n v="96"/>
    <n v="0.3"/>
    <n v="0.28000000000000003"/>
    <n v="-6.6666666666666541E-2"/>
  </r>
  <r>
    <x v="3"/>
    <x v="2"/>
    <n v="14"/>
    <n v="3.61"/>
    <n v="8"/>
    <n v="12"/>
    <n v="96"/>
    <n v="0.3"/>
    <n v="0.28000000000000003"/>
    <n v="-6.6666666666666541E-2"/>
  </r>
  <r>
    <x v="3"/>
    <x v="2"/>
    <n v="15"/>
    <n v="3.5"/>
    <n v="8"/>
    <n v="12"/>
    <n v="96"/>
    <n v="0.3"/>
    <n v="0.28000000000000003"/>
    <n v="-6.6666666666666541E-2"/>
  </r>
  <r>
    <x v="3"/>
    <x v="2"/>
    <n v="16"/>
    <n v="4.37"/>
    <n v="8"/>
    <n v="12"/>
    <n v="96"/>
    <n v="0.3"/>
    <n v="0.28000000000000003"/>
    <n v="-6.6666666666666541E-2"/>
  </r>
  <r>
    <x v="3"/>
    <x v="2"/>
    <n v="17"/>
    <n v="3.86"/>
    <n v="8"/>
    <n v="12"/>
    <n v="96"/>
    <n v="0.3"/>
    <n v="0.28000000000000003"/>
    <n v="-6.6666666666666541E-2"/>
  </r>
  <r>
    <x v="3"/>
    <x v="2"/>
    <n v="18"/>
    <n v="4.3099999999999996"/>
    <n v="8"/>
    <n v="12"/>
    <n v="96"/>
    <n v="0.3"/>
    <n v="0.28000000000000003"/>
    <n v="-6.6666666666666541E-2"/>
  </r>
  <r>
    <x v="3"/>
    <x v="2"/>
    <n v="19"/>
    <n v="2.89"/>
    <n v="8"/>
    <n v="12"/>
    <n v="96"/>
    <n v="0.3"/>
    <n v="0.28000000000000003"/>
    <n v="-6.6666666666666541E-2"/>
  </r>
  <r>
    <x v="3"/>
    <x v="2"/>
    <n v="20"/>
    <n v="3.3"/>
    <n v="8"/>
    <n v="12"/>
    <n v="96"/>
    <n v="0.3"/>
    <n v="0.28000000000000003"/>
    <n v="-6.6666666666666541E-2"/>
  </r>
  <r>
    <x v="3"/>
    <x v="3"/>
    <n v="6"/>
    <n v="3.05"/>
    <n v="8"/>
    <n v="12"/>
    <n v="96"/>
    <n v="0.3"/>
    <n v="0.28000000000000003"/>
    <n v="-6.6666666666666541E-2"/>
  </r>
  <r>
    <x v="3"/>
    <x v="3"/>
    <n v="7"/>
    <n v="4.16"/>
    <n v="8"/>
    <n v="12"/>
    <n v="96"/>
    <n v="0.3"/>
    <n v="0.28000000000000003"/>
    <n v="-6.6666666666666541E-2"/>
  </r>
  <r>
    <x v="3"/>
    <x v="3"/>
    <n v="8"/>
    <n v="4.0599999999999996"/>
    <n v="8"/>
    <n v="12"/>
    <n v="96"/>
    <n v="0.3"/>
    <n v="0.28000000000000003"/>
    <n v="-6.6666666666666541E-2"/>
  </r>
  <r>
    <x v="3"/>
    <x v="3"/>
    <n v="9"/>
    <n v="4.46"/>
    <n v="8"/>
    <n v="12"/>
    <n v="96"/>
    <n v="0.3"/>
    <n v="0.28000000000000003"/>
    <n v="-6.6666666666666541E-2"/>
  </r>
  <r>
    <x v="3"/>
    <x v="3"/>
    <n v="10"/>
    <n v="3.38"/>
    <n v="8"/>
    <n v="12"/>
    <n v="96"/>
    <n v="0.3"/>
    <n v="0.28000000000000003"/>
    <n v="-6.6666666666666541E-2"/>
  </r>
  <r>
    <x v="3"/>
    <x v="3"/>
    <n v="11"/>
    <n v="3.88"/>
    <n v="8"/>
    <n v="12"/>
    <n v="96"/>
    <n v="0.3"/>
    <n v="0.28000000000000003"/>
    <n v="-6.6666666666666541E-2"/>
  </r>
  <r>
    <x v="3"/>
    <x v="3"/>
    <n v="12"/>
    <n v="4.1100000000000003"/>
    <n v="8"/>
    <n v="12"/>
    <n v="96"/>
    <n v="0.3"/>
    <n v="0.28000000000000003"/>
    <n v="-6.6666666666666541E-2"/>
  </r>
  <r>
    <x v="3"/>
    <x v="3"/>
    <n v="13"/>
    <n v="4.1500000000000004"/>
    <n v="8"/>
    <n v="12"/>
    <n v="96"/>
    <n v="0.3"/>
    <n v="0.28000000000000003"/>
    <n v="-6.6666666666666541E-2"/>
  </r>
  <r>
    <x v="3"/>
    <x v="3"/>
    <n v="14"/>
    <n v="4.74"/>
    <n v="8"/>
    <n v="12"/>
    <n v="96"/>
    <n v="0.3"/>
    <n v="0.28000000000000003"/>
    <n v="-6.6666666666666541E-2"/>
  </r>
  <r>
    <x v="3"/>
    <x v="3"/>
    <n v="15"/>
    <n v="3.39"/>
    <n v="8"/>
    <n v="12"/>
    <n v="96"/>
    <n v="0.3"/>
    <n v="0.28000000000000003"/>
    <n v="-6.6666666666666541E-2"/>
  </r>
  <r>
    <x v="3"/>
    <x v="3"/>
    <n v="6"/>
    <n v="3.99"/>
    <n v="8"/>
    <n v="12"/>
    <n v="96"/>
    <n v="0.3"/>
    <n v="0.28000000000000003"/>
    <n v="-6.6666666666666541E-2"/>
  </r>
  <r>
    <x v="3"/>
    <x v="3"/>
    <n v="7"/>
    <n v="4.24"/>
    <n v="8"/>
    <n v="12"/>
    <n v="96"/>
    <n v="0.3"/>
    <n v="0.28000000000000003"/>
    <n v="-6.6666666666666541E-2"/>
  </r>
  <r>
    <x v="3"/>
    <x v="3"/>
    <n v="8"/>
    <n v="3.98"/>
    <n v="8"/>
    <n v="12"/>
    <n v="96"/>
    <n v="0.3"/>
    <n v="0.28000000000000003"/>
    <n v="-6.6666666666666541E-2"/>
  </r>
  <r>
    <x v="3"/>
    <x v="3"/>
    <n v="9"/>
    <n v="3.6"/>
    <n v="8"/>
    <n v="12"/>
    <n v="96"/>
    <n v="0.3"/>
    <n v="0.28000000000000003"/>
    <n v="-6.6666666666666541E-2"/>
  </r>
  <r>
    <x v="3"/>
    <x v="3"/>
    <n v="10"/>
    <n v="4.05"/>
    <n v="8"/>
    <n v="12"/>
    <n v="96"/>
    <n v="0.3"/>
    <n v="0.28000000000000003"/>
    <n v="-6.6666666666666541E-2"/>
  </r>
  <r>
    <x v="3"/>
    <x v="3"/>
    <n v="11"/>
    <n v="2.39"/>
    <n v="8"/>
    <n v="12"/>
    <n v="96"/>
    <n v="0.3"/>
    <n v="0.28000000000000003"/>
    <n v="-6.6666666666666541E-2"/>
  </r>
  <r>
    <x v="3"/>
    <x v="3"/>
    <n v="12"/>
    <n v="3.35"/>
    <n v="8"/>
    <n v="12"/>
    <n v="96"/>
    <n v="0.3"/>
    <n v="0.28000000000000003"/>
    <n v="-6.6666666666666541E-2"/>
  </r>
  <r>
    <x v="3"/>
    <x v="3"/>
    <n v="13"/>
    <n v="2.96"/>
    <n v="8"/>
    <n v="12"/>
    <n v="96"/>
    <n v="0.3"/>
    <n v="0.28000000000000003"/>
    <n v="-6.6666666666666541E-2"/>
  </r>
  <r>
    <x v="3"/>
    <x v="3"/>
    <n v="14"/>
    <n v="3.61"/>
    <n v="8"/>
    <n v="12"/>
    <n v="96"/>
    <n v="0.3"/>
    <n v="0.28000000000000003"/>
    <n v="-6.6666666666666541E-2"/>
  </r>
  <r>
    <x v="3"/>
    <x v="3"/>
    <n v="15"/>
    <n v="3.5"/>
    <n v="8"/>
    <n v="12"/>
    <n v="96"/>
    <n v="0.3"/>
    <n v="0.28000000000000003"/>
    <n v="-6.666666666666654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D8968-D890-884A-81ED-D812DE9F7BD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9" firstHeaderRow="1" firstDataRow="2" firstDataCol="1" rowPageCount="1" colPageCount="1"/>
  <pivotFields count="10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2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Average of thickness_um" fld="3" subtotal="average" baseField="0" baseItem="0" numFmtId="2"/>
    <dataField name="Average of width" fld="4" subtotal="average" baseField="0" baseItem="0"/>
    <dataField name="Average of length" fld="5" subtotal="average" baseField="0" baseItem="0"/>
    <dataField name="Average of area" fld="6" subtotal="average" baseField="0" baseItem="0"/>
    <dataField name="Average of transp_1" fld="7" subtotal="average" baseField="0" baseItem="0"/>
    <dataField name="Average of trans_2" fld="8" subtotal="average" baseField="0" baseItem="0"/>
    <dataField name="Average of diff_perct" fld="9" subtotal="average" baseField="0" baseItem="0" numFmtId="2"/>
  </dataFields>
  <formats count="6">
    <format dxfId="65">
      <pivotArea field="0" grandRow="1" outline="0" axis="axisRow" fieldPosition="0">
        <references count="1">
          <reference field="4294967294" count="1" selected="0">
            <x v="3"/>
          </reference>
        </references>
      </pivotArea>
    </format>
    <format dxfId="64">
      <pivotArea field="0" grandRow="1" outline="0" axis="axisRow" fieldPosition="0">
        <references count="1">
          <reference field="4294967294" count="1" selected="0">
            <x v="4"/>
          </reference>
        </references>
      </pivotArea>
    </format>
    <format dxfId="62">
      <pivotArea field="0" grandRow="1" outline="0" axis="axisRow" fieldPosition="0">
        <references count="1">
          <reference field="4294967294" count="1" selected="0">
            <x v="5"/>
          </reference>
        </references>
      </pivotArea>
    </format>
    <format dxfId="18">
      <pivotArea outline="0" fieldPosition="0">
        <references count="1">
          <reference field="4294967294" count="1" selected="0">
            <x v="6"/>
          </reference>
        </references>
      </pivotArea>
    </format>
    <format dxfId="14">
      <pivotArea field="0" grandRow="1" outline="0" axis="axisRow" fieldPosition="0">
        <references count="1">
          <reference field="4294967294" count="1" selected="0">
            <x v="2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6B50-D944-D348-AC4A-C5C733CD96BE}">
  <dimension ref="A1:H12"/>
  <sheetViews>
    <sheetView tabSelected="1" workbookViewId="0">
      <selection activeCell="A8" sqref="A5:H8"/>
    </sheetView>
  </sheetViews>
  <sheetFormatPr baseColWidth="10" defaultRowHeight="15" x14ac:dyDescent="0.2"/>
  <cols>
    <col min="1" max="1" width="10" bestFit="1" customWidth="1"/>
    <col min="2" max="2" width="20.33203125" bestFit="1" customWidth="1"/>
    <col min="3" max="3" width="14.1640625" bestFit="1" customWidth="1"/>
    <col min="4" max="4" width="14.6640625" bestFit="1" customWidth="1"/>
    <col min="5" max="5" width="13" bestFit="1" customWidth="1"/>
    <col min="6" max="6" width="16.5" bestFit="1" customWidth="1"/>
    <col min="7" max="7" width="15.33203125" bestFit="1" customWidth="1"/>
    <col min="8" max="8" width="17.33203125" bestFit="1" customWidth="1"/>
  </cols>
  <sheetData>
    <row r="1" spans="1:8" x14ac:dyDescent="0.2">
      <c r="A1" s="1" t="s">
        <v>1</v>
      </c>
      <c r="B1" t="s">
        <v>18</v>
      </c>
    </row>
    <row r="3" spans="1:8" x14ac:dyDescent="0.2">
      <c r="B3" s="1" t="s">
        <v>17</v>
      </c>
    </row>
    <row r="4" spans="1:8" x14ac:dyDescent="0.2">
      <c r="A4" s="1" t="s">
        <v>0</v>
      </c>
      <c r="B4" t="s">
        <v>6</v>
      </c>
      <c r="C4" t="s">
        <v>12</v>
      </c>
      <c r="D4" t="s">
        <v>13</v>
      </c>
      <c r="E4" t="s">
        <v>21</v>
      </c>
      <c r="F4" t="s">
        <v>14</v>
      </c>
      <c r="G4" t="s">
        <v>15</v>
      </c>
      <c r="H4" t="s">
        <v>16</v>
      </c>
    </row>
    <row r="5" spans="1:8" x14ac:dyDescent="0.2">
      <c r="A5">
        <v>1</v>
      </c>
      <c r="B5" s="6">
        <v>3.7437500000000012</v>
      </c>
      <c r="C5" s="2">
        <v>6</v>
      </c>
      <c r="D5" s="2">
        <v>11</v>
      </c>
      <c r="E5" s="2">
        <v>66</v>
      </c>
      <c r="F5" s="2">
        <v>0.35999999999999965</v>
      </c>
      <c r="G5" s="2">
        <v>0.28999999999999948</v>
      </c>
      <c r="H5" s="6">
        <v>-0.19444444444444459</v>
      </c>
    </row>
    <row r="6" spans="1:8" x14ac:dyDescent="0.2">
      <c r="A6">
        <v>2</v>
      </c>
      <c r="B6" s="6">
        <v>4.0768750000000002</v>
      </c>
      <c r="C6" s="2">
        <v>8</v>
      </c>
      <c r="D6" s="2">
        <v>14</v>
      </c>
      <c r="E6" s="2">
        <v>112</v>
      </c>
      <c r="F6" s="2">
        <v>0.30999999999999966</v>
      </c>
      <c r="G6" s="2">
        <v>0.30999999999999966</v>
      </c>
      <c r="H6" s="6">
        <v>0</v>
      </c>
    </row>
    <row r="7" spans="1:8" x14ac:dyDescent="0.2">
      <c r="A7">
        <v>3</v>
      </c>
      <c r="B7" s="6">
        <v>5.1436250000000019</v>
      </c>
      <c r="C7" s="2">
        <v>6</v>
      </c>
      <c r="D7" s="2">
        <v>12</v>
      </c>
      <c r="E7" s="2">
        <v>72</v>
      </c>
      <c r="F7" s="2">
        <v>0.33999999999999991</v>
      </c>
      <c r="G7" s="2">
        <v>0.28999999999999948</v>
      </c>
      <c r="H7" s="6">
        <v>-0.14705882352941174</v>
      </c>
    </row>
    <row r="8" spans="1:8" x14ac:dyDescent="0.2">
      <c r="A8">
        <v>4</v>
      </c>
      <c r="B8" s="6">
        <v>4.0097500000000013</v>
      </c>
      <c r="C8" s="2">
        <v>8</v>
      </c>
      <c r="D8" s="2">
        <v>12</v>
      </c>
      <c r="E8" s="2">
        <v>96</v>
      </c>
      <c r="F8" s="2">
        <v>0.30000000000000043</v>
      </c>
      <c r="G8" s="2">
        <v>0.28000000000000014</v>
      </c>
      <c r="H8" s="6">
        <v>-6.6666666666666458E-2</v>
      </c>
    </row>
    <row r="9" spans="1:8" x14ac:dyDescent="0.2">
      <c r="A9" t="s">
        <v>5</v>
      </c>
      <c r="B9" s="6">
        <v>4.2434999999999983</v>
      </c>
      <c r="C9" s="2">
        <v>7</v>
      </c>
      <c r="D9" s="5">
        <v>12.25</v>
      </c>
      <c r="E9" s="5">
        <v>86.5</v>
      </c>
      <c r="F9" s="6">
        <v>0.32750000000000046</v>
      </c>
      <c r="G9" s="6">
        <v>0.29250000000000076</v>
      </c>
      <c r="H9" s="6">
        <v>-0.10204248366013109</v>
      </c>
    </row>
    <row r="12" spans="1:8" x14ac:dyDescent="0.2">
      <c r="B12">
        <f>STDEV(G5:G8)</f>
        <v>1.2583057392117783E-2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22"/>
  <sheetViews>
    <sheetView topLeftCell="A301" zoomScaleNormal="100" workbookViewId="0">
      <selection activeCell="G322" sqref="G3:G322"/>
    </sheetView>
  </sheetViews>
  <sheetFormatPr baseColWidth="10" defaultColWidth="8.83203125" defaultRowHeight="15" x14ac:dyDescent="0.2"/>
  <cols>
    <col min="1" max="1" width="4.5" bestFit="1" customWidth="1"/>
    <col min="3" max="4" width="11.5" bestFit="1" customWidth="1"/>
  </cols>
  <sheetData>
    <row r="2" spans="1:13" x14ac:dyDescent="0.2">
      <c r="A2" t="s">
        <v>0</v>
      </c>
      <c r="B2" t="s">
        <v>1</v>
      </c>
      <c r="C2" t="s">
        <v>19</v>
      </c>
      <c r="D2" t="s">
        <v>2</v>
      </c>
      <c r="E2" t="s">
        <v>4</v>
      </c>
      <c r="F2" t="s">
        <v>3</v>
      </c>
      <c r="G2" t="s">
        <v>20</v>
      </c>
      <c r="H2" t="s">
        <v>9</v>
      </c>
      <c r="I2" t="s">
        <v>10</v>
      </c>
      <c r="J2" t="s">
        <v>11</v>
      </c>
    </row>
    <row r="3" spans="1:13" x14ac:dyDescent="0.2">
      <c r="A3">
        <v>1</v>
      </c>
      <c r="B3">
        <v>1</v>
      </c>
      <c r="C3">
        <v>1</v>
      </c>
      <c r="D3">
        <v>3.27</v>
      </c>
      <c r="E3">
        <v>6</v>
      </c>
      <c r="F3">
        <v>11</v>
      </c>
      <c r="G3">
        <f>E3*F3</f>
        <v>66</v>
      </c>
      <c r="H3">
        <f>VLOOKUP(A3,fruit_size!$A$2:$E$5,4,FALSE)</f>
        <v>0.36</v>
      </c>
      <c r="I3">
        <f>VLOOKUP(A3,fruit_size!$A$2:$E$5,5,FALSE)</f>
        <v>0.28999999999999998</v>
      </c>
      <c r="J3" s="4">
        <f>(I3-H3)/H3</f>
        <v>-0.19444444444444448</v>
      </c>
      <c r="M3" s="3"/>
    </row>
    <row r="4" spans="1:13" x14ac:dyDescent="0.2">
      <c r="A4">
        <v>1</v>
      </c>
      <c r="B4">
        <v>1</v>
      </c>
      <c r="C4">
        <v>2</v>
      </c>
      <c r="D4">
        <v>3.78</v>
      </c>
      <c r="E4">
        <v>6</v>
      </c>
      <c r="F4">
        <v>11</v>
      </c>
      <c r="G4">
        <f t="shared" ref="G4:G67" si="0">E4*F4</f>
        <v>66</v>
      </c>
      <c r="H4">
        <f>VLOOKUP(A4,fruit_size!$A$2:$E$5,4,FALSE)</f>
        <v>0.36</v>
      </c>
      <c r="I4">
        <f>VLOOKUP(A4,fruit_size!$A$2:$E$5,5,FALSE)</f>
        <v>0.28999999999999998</v>
      </c>
      <c r="J4" s="4">
        <f t="shared" ref="J4:J67" si="1">(I4-H4)/H4</f>
        <v>-0.19444444444444448</v>
      </c>
    </row>
    <row r="5" spans="1:13" x14ac:dyDescent="0.2">
      <c r="A5">
        <v>1</v>
      </c>
      <c r="B5">
        <v>1</v>
      </c>
      <c r="C5">
        <v>3</v>
      </c>
      <c r="D5">
        <v>3.36</v>
      </c>
      <c r="E5">
        <v>6</v>
      </c>
      <c r="F5">
        <v>11</v>
      </c>
      <c r="G5">
        <f t="shared" si="0"/>
        <v>66</v>
      </c>
      <c r="H5">
        <f>VLOOKUP(A5,fruit_size!$A$2:$E$5,4,FALSE)</f>
        <v>0.36</v>
      </c>
      <c r="I5">
        <f>VLOOKUP(A5,fruit_size!$A$2:$E$5,5,FALSE)</f>
        <v>0.28999999999999998</v>
      </c>
      <c r="J5" s="4">
        <f t="shared" si="1"/>
        <v>-0.19444444444444448</v>
      </c>
    </row>
    <row r="6" spans="1:13" x14ac:dyDescent="0.2">
      <c r="A6">
        <v>1</v>
      </c>
      <c r="B6">
        <v>1</v>
      </c>
      <c r="C6">
        <v>4</v>
      </c>
      <c r="D6">
        <v>2.98</v>
      </c>
      <c r="E6">
        <v>6</v>
      </c>
      <c r="F6">
        <v>11</v>
      </c>
      <c r="G6">
        <f t="shared" si="0"/>
        <v>66</v>
      </c>
      <c r="H6">
        <f>VLOOKUP(A6,fruit_size!$A$2:$E$5,4,FALSE)</f>
        <v>0.36</v>
      </c>
      <c r="I6">
        <f>VLOOKUP(A6,fruit_size!$A$2:$E$5,5,FALSE)</f>
        <v>0.28999999999999998</v>
      </c>
      <c r="J6" s="4">
        <f t="shared" si="1"/>
        <v>-0.19444444444444448</v>
      </c>
    </row>
    <row r="7" spans="1:13" x14ac:dyDescent="0.2">
      <c r="A7">
        <v>1</v>
      </c>
      <c r="B7">
        <v>1</v>
      </c>
      <c r="C7">
        <v>5</v>
      </c>
      <c r="D7">
        <v>3.94</v>
      </c>
      <c r="E7">
        <v>6</v>
      </c>
      <c r="F7">
        <v>11</v>
      </c>
      <c r="G7">
        <f t="shared" si="0"/>
        <v>66</v>
      </c>
      <c r="H7">
        <f>VLOOKUP(A7,fruit_size!$A$2:$E$5,4,FALSE)</f>
        <v>0.36</v>
      </c>
      <c r="I7">
        <f>VLOOKUP(A7,fruit_size!$A$2:$E$5,5,FALSE)</f>
        <v>0.28999999999999998</v>
      </c>
      <c r="J7" s="4">
        <f t="shared" si="1"/>
        <v>-0.19444444444444448</v>
      </c>
    </row>
    <row r="8" spans="1:13" x14ac:dyDescent="0.2">
      <c r="A8">
        <v>1</v>
      </c>
      <c r="B8">
        <v>1</v>
      </c>
      <c r="C8">
        <v>6</v>
      </c>
      <c r="D8">
        <v>4.6399999999999997</v>
      </c>
      <c r="E8">
        <v>6</v>
      </c>
      <c r="F8">
        <v>11</v>
      </c>
      <c r="G8">
        <f t="shared" si="0"/>
        <v>66</v>
      </c>
      <c r="H8">
        <f>VLOOKUP(A8,fruit_size!$A$2:$E$5,4,FALSE)</f>
        <v>0.36</v>
      </c>
      <c r="I8">
        <f>VLOOKUP(A8,fruit_size!$A$2:$E$5,5,FALSE)</f>
        <v>0.28999999999999998</v>
      </c>
      <c r="J8" s="4">
        <f t="shared" si="1"/>
        <v>-0.19444444444444448</v>
      </c>
    </row>
    <row r="9" spans="1:13" x14ac:dyDescent="0.2">
      <c r="A9">
        <v>1</v>
      </c>
      <c r="B9">
        <v>1</v>
      </c>
      <c r="C9">
        <v>7</v>
      </c>
      <c r="D9">
        <v>4.0999999999999996</v>
      </c>
      <c r="E9">
        <v>6</v>
      </c>
      <c r="F9">
        <v>11</v>
      </c>
      <c r="G9">
        <f t="shared" si="0"/>
        <v>66</v>
      </c>
      <c r="H9">
        <f>VLOOKUP(A9,fruit_size!$A$2:$E$5,4,FALSE)</f>
        <v>0.36</v>
      </c>
      <c r="I9">
        <f>VLOOKUP(A9,fruit_size!$A$2:$E$5,5,FALSE)</f>
        <v>0.28999999999999998</v>
      </c>
      <c r="J9" s="4">
        <f t="shared" si="1"/>
        <v>-0.19444444444444448</v>
      </c>
    </row>
    <row r="10" spans="1:13" x14ac:dyDescent="0.2">
      <c r="A10">
        <v>1</v>
      </c>
      <c r="B10">
        <v>1</v>
      </c>
      <c r="C10">
        <v>8</v>
      </c>
      <c r="D10">
        <v>3.91</v>
      </c>
      <c r="E10">
        <v>6</v>
      </c>
      <c r="F10">
        <v>11</v>
      </c>
      <c r="G10">
        <f t="shared" si="0"/>
        <v>66</v>
      </c>
      <c r="H10">
        <f>VLOOKUP(A10,fruit_size!$A$2:$E$5,4,FALSE)</f>
        <v>0.36</v>
      </c>
      <c r="I10">
        <f>VLOOKUP(A10,fruit_size!$A$2:$E$5,5,FALSE)</f>
        <v>0.28999999999999998</v>
      </c>
      <c r="J10" s="4">
        <f t="shared" si="1"/>
        <v>-0.19444444444444448</v>
      </c>
    </row>
    <row r="11" spans="1:13" x14ac:dyDescent="0.2">
      <c r="A11">
        <v>1</v>
      </c>
      <c r="B11">
        <v>1</v>
      </c>
      <c r="C11">
        <v>9</v>
      </c>
      <c r="D11">
        <v>3.01</v>
      </c>
      <c r="E11">
        <v>6</v>
      </c>
      <c r="F11">
        <v>11</v>
      </c>
      <c r="G11">
        <f t="shared" si="0"/>
        <v>66</v>
      </c>
      <c r="H11">
        <f>VLOOKUP(A11,fruit_size!$A$2:$E$5,4,FALSE)</f>
        <v>0.36</v>
      </c>
      <c r="I11">
        <f>VLOOKUP(A11,fruit_size!$A$2:$E$5,5,FALSE)</f>
        <v>0.28999999999999998</v>
      </c>
      <c r="J11" s="4">
        <f t="shared" si="1"/>
        <v>-0.19444444444444448</v>
      </c>
    </row>
    <row r="12" spans="1:13" x14ac:dyDescent="0.2">
      <c r="A12">
        <v>1</v>
      </c>
      <c r="B12">
        <v>1</v>
      </c>
      <c r="C12">
        <v>10</v>
      </c>
      <c r="D12">
        <v>2.82</v>
      </c>
      <c r="E12">
        <v>6</v>
      </c>
      <c r="F12">
        <v>11</v>
      </c>
      <c r="G12">
        <f t="shared" si="0"/>
        <v>66</v>
      </c>
      <c r="H12">
        <f>VLOOKUP(A12,fruit_size!$A$2:$E$5,4,FALSE)</f>
        <v>0.36</v>
      </c>
      <c r="I12">
        <f>VLOOKUP(A12,fruit_size!$A$2:$E$5,5,FALSE)</f>
        <v>0.28999999999999998</v>
      </c>
      <c r="J12" s="4">
        <f t="shared" si="1"/>
        <v>-0.19444444444444448</v>
      </c>
    </row>
    <row r="13" spans="1:13" x14ac:dyDescent="0.2">
      <c r="A13">
        <v>1</v>
      </c>
      <c r="B13">
        <v>1</v>
      </c>
      <c r="C13">
        <v>11</v>
      </c>
      <c r="D13">
        <v>3.52</v>
      </c>
      <c r="E13">
        <v>6</v>
      </c>
      <c r="F13">
        <v>11</v>
      </c>
      <c r="G13">
        <f t="shared" si="0"/>
        <v>66</v>
      </c>
      <c r="H13">
        <f>VLOOKUP(A13,fruit_size!$A$2:$E$5,4,FALSE)</f>
        <v>0.36</v>
      </c>
      <c r="I13">
        <f>VLOOKUP(A13,fruit_size!$A$2:$E$5,5,FALSE)</f>
        <v>0.28999999999999998</v>
      </c>
      <c r="J13" s="4">
        <f t="shared" si="1"/>
        <v>-0.19444444444444448</v>
      </c>
    </row>
    <row r="14" spans="1:13" x14ac:dyDescent="0.2">
      <c r="A14">
        <v>1</v>
      </c>
      <c r="B14">
        <v>1</v>
      </c>
      <c r="C14">
        <v>12</v>
      </c>
      <c r="D14">
        <v>3.77</v>
      </c>
      <c r="E14">
        <v>6</v>
      </c>
      <c r="F14">
        <v>11</v>
      </c>
      <c r="G14">
        <f t="shared" si="0"/>
        <v>66</v>
      </c>
      <c r="H14">
        <f>VLOOKUP(A14,fruit_size!$A$2:$E$5,4,FALSE)</f>
        <v>0.36</v>
      </c>
      <c r="I14">
        <f>VLOOKUP(A14,fruit_size!$A$2:$E$5,5,FALSE)</f>
        <v>0.28999999999999998</v>
      </c>
      <c r="J14" s="4">
        <f t="shared" si="1"/>
        <v>-0.19444444444444448</v>
      </c>
    </row>
    <row r="15" spans="1:13" x14ac:dyDescent="0.2">
      <c r="A15">
        <v>1</v>
      </c>
      <c r="B15">
        <v>1</v>
      </c>
      <c r="C15">
        <v>13</v>
      </c>
      <c r="D15">
        <v>3.66</v>
      </c>
      <c r="E15">
        <v>6</v>
      </c>
      <c r="F15">
        <v>11</v>
      </c>
      <c r="G15">
        <f t="shared" si="0"/>
        <v>66</v>
      </c>
      <c r="H15">
        <f>VLOOKUP(A15,fruit_size!$A$2:$E$5,4,FALSE)</f>
        <v>0.36</v>
      </c>
      <c r="I15">
        <f>VLOOKUP(A15,fruit_size!$A$2:$E$5,5,FALSE)</f>
        <v>0.28999999999999998</v>
      </c>
      <c r="J15" s="4">
        <f t="shared" si="1"/>
        <v>-0.19444444444444448</v>
      </c>
    </row>
    <row r="16" spans="1:13" x14ac:dyDescent="0.2">
      <c r="A16">
        <v>1</v>
      </c>
      <c r="B16">
        <v>1</v>
      </c>
      <c r="C16">
        <v>14</v>
      </c>
      <c r="D16">
        <v>3.24</v>
      </c>
      <c r="E16">
        <v>6</v>
      </c>
      <c r="F16">
        <v>11</v>
      </c>
      <c r="G16">
        <f t="shared" si="0"/>
        <v>66</v>
      </c>
      <c r="H16">
        <f>VLOOKUP(A16,fruit_size!$A$2:$E$5,4,FALSE)</f>
        <v>0.36</v>
      </c>
      <c r="I16">
        <f>VLOOKUP(A16,fruit_size!$A$2:$E$5,5,FALSE)</f>
        <v>0.28999999999999998</v>
      </c>
      <c r="J16" s="4">
        <f t="shared" si="1"/>
        <v>-0.19444444444444448</v>
      </c>
    </row>
    <row r="17" spans="1:10" x14ac:dyDescent="0.2">
      <c r="A17">
        <v>1</v>
      </c>
      <c r="B17">
        <v>1</v>
      </c>
      <c r="C17">
        <v>15</v>
      </c>
      <c r="D17">
        <v>3.33</v>
      </c>
      <c r="E17">
        <v>6</v>
      </c>
      <c r="F17">
        <v>11</v>
      </c>
      <c r="G17">
        <f t="shared" si="0"/>
        <v>66</v>
      </c>
      <c r="H17">
        <f>VLOOKUP(A17,fruit_size!$A$2:$E$5,4,FALSE)</f>
        <v>0.36</v>
      </c>
      <c r="I17">
        <f>VLOOKUP(A17,fruit_size!$A$2:$E$5,5,FALSE)</f>
        <v>0.28999999999999998</v>
      </c>
      <c r="J17" s="4">
        <f t="shared" si="1"/>
        <v>-0.19444444444444448</v>
      </c>
    </row>
    <row r="18" spans="1:10" x14ac:dyDescent="0.2">
      <c r="A18">
        <v>1</v>
      </c>
      <c r="B18">
        <v>1</v>
      </c>
      <c r="C18">
        <v>16</v>
      </c>
      <c r="D18">
        <v>3.31</v>
      </c>
      <c r="E18">
        <v>6</v>
      </c>
      <c r="F18">
        <v>11</v>
      </c>
      <c r="G18">
        <f t="shared" si="0"/>
        <v>66</v>
      </c>
      <c r="H18">
        <f>VLOOKUP(A18,fruit_size!$A$2:$E$5,4,FALSE)</f>
        <v>0.36</v>
      </c>
      <c r="I18">
        <f>VLOOKUP(A18,fruit_size!$A$2:$E$5,5,FALSE)</f>
        <v>0.28999999999999998</v>
      </c>
      <c r="J18" s="4">
        <f t="shared" si="1"/>
        <v>-0.19444444444444448</v>
      </c>
    </row>
    <row r="19" spans="1:10" x14ac:dyDescent="0.2">
      <c r="A19">
        <v>1</v>
      </c>
      <c r="B19">
        <v>1</v>
      </c>
      <c r="C19">
        <v>17</v>
      </c>
      <c r="D19">
        <v>2.88</v>
      </c>
      <c r="E19">
        <v>6</v>
      </c>
      <c r="F19">
        <v>11</v>
      </c>
      <c r="G19">
        <f t="shared" si="0"/>
        <v>66</v>
      </c>
      <c r="H19">
        <f>VLOOKUP(A19,fruit_size!$A$2:$E$5,4,FALSE)</f>
        <v>0.36</v>
      </c>
      <c r="I19">
        <f>VLOOKUP(A19,fruit_size!$A$2:$E$5,5,FALSE)</f>
        <v>0.28999999999999998</v>
      </c>
      <c r="J19" s="4">
        <f t="shared" si="1"/>
        <v>-0.19444444444444448</v>
      </c>
    </row>
    <row r="20" spans="1:10" x14ac:dyDescent="0.2">
      <c r="A20">
        <v>1</v>
      </c>
      <c r="B20">
        <v>1</v>
      </c>
      <c r="C20">
        <v>18</v>
      </c>
      <c r="D20">
        <v>3.23</v>
      </c>
      <c r="E20">
        <v>6</v>
      </c>
      <c r="F20">
        <v>11</v>
      </c>
      <c r="G20">
        <f t="shared" si="0"/>
        <v>66</v>
      </c>
      <c r="H20">
        <f>VLOOKUP(A20,fruit_size!$A$2:$E$5,4,FALSE)</f>
        <v>0.36</v>
      </c>
      <c r="I20">
        <f>VLOOKUP(A20,fruit_size!$A$2:$E$5,5,FALSE)</f>
        <v>0.28999999999999998</v>
      </c>
      <c r="J20" s="4">
        <f t="shared" si="1"/>
        <v>-0.19444444444444448</v>
      </c>
    </row>
    <row r="21" spans="1:10" x14ac:dyDescent="0.2">
      <c r="A21">
        <v>1</v>
      </c>
      <c r="B21">
        <v>1</v>
      </c>
      <c r="C21">
        <v>19</v>
      </c>
      <c r="D21">
        <v>3.1</v>
      </c>
      <c r="E21">
        <v>6</v>
      </c>
      <c r="F21">
        <v>11</v>
      </c>
      <c r="G21">
        <f t="shared" si="0"/>
        <v>66</v>
      </c>
      <c r="H21">
        <f>VLOOKUP(A21,fruit_size!$A$2:$E$5,4,FALSE)</f>
        <v>0.36</v>
      </c>
      <c r="I21">
        <f>VLOOKUP(A21,fruit_size!$A$2:$E$5,5,FALSE)</f>
        <v>0.28999999999999998</v>
      </c>
      <c r="J21" s="4">
        <f t="shared" si="1"/>
        <v>-0.19444444444444448</v>
      </c>
    </row>
    <row r="22" spans="1:10" x14ac:dyDescent="0.2">
      <c r="A22">
        <v>1</v>
      </c>
      <c r="B22">
        <v>1</v>
      </c>
      <c r="C22">
        <v>20</v>
      </c>
      <c r="D22">
        <v>3.69</v>
      </c>
      <c r="E22">
        <v>6</v>
      </c>
      <c r="F22">
        <v>11</v>
      </c>
      <c r="G22">
        <f t="shared" si="0"/>
        <v>66</v>
      </c>
      <c r="H22">
        <f>VLOOKUP(A22,fruit_size!$A$2:$E$5,4,FALSE)</f>
        <v>0.36</v>
      </c>
      <c r="I22">
        <f>VLOOKUP(A22,fruit_size!$A$2:$E$5,5,FALSE)</f>
        <v>0.28999999999999998</v>
      </c>
      <c r="J22" s="4">
        <f t="shared" si="1"/>
        <v>-0.19444444444444448</v>
      </c>
    </row>
    <row r="23" spans="1:10" x14ac:dyDescent="0.2">
      <c r="A23">
        <v>1</v>
      </c>
      <c r="B23">
        <v>2</v>
      </c>
      <c r="C23">
        <v>1</v>
      </c>
      <c r="D23">
        <v>3.85</v>
      </c>
      <c r="E23">
        <v>6</v>
      </c>
      <c r="F23">
        <v>11</v>
      </c>
      <c r="G23">
        <f t="shared" si="0"/>
        <v>66</v>
      </c>
      <c r="H23">
        <f>VLOOKUP(A23,fruit_size!$A$2:$E$5,4,FALSE)</f>
        <v>0.36</v>
      </c>
      <c r="I23">
        <f>VLOOKUP(A23,fruit_size!$A$2:$E$5,5,FALSE)</f>
        <v>0.28999999999999998</v>
      </c>
      <c r="J23" s="4">
        <f t="shared" si="1"/>
        <v>-0.19444444444444448</v>
      </c>
    </row>
    <row r="24" spans="1:10" x14ac:dyDescent="0.2">
      <c r="A24">
        <v>1</v>
      </c>
      <c r="B24">
        <v>2</v>
      </c>
      <c r="C24">
        <v>2</v>
      </c>
      <c r="D24">
        <v>4.3499999999999996</v>
      </c>
      <c r="E24">
        <v>6</v>
      </c>
      <c r="F24">
        <v>11</v>
      </c>
      <c r="G24">
        <f t="shared" si="0"/>
        <v>66</v>
      </c>
      <c r="H24">
        <f>VLOOKUP(A24,fruit_size!$A$2:$E$5,4,FALSE)</f>
        <v>0.36</v>
      </c>
      <c r="I24">
        <f>VLOOKUP(A24,fruit_size!$A$2:$E$5,5,FALSE)</f>
        <v>0.28999999999999998</v>
      </c>
      <c r="J24" s="4">
        <f t="shared" si="1"/>
        <v>-0.19444444444444448</v>
      </c>
    </row>
    <row r="25" spans="1:10" x14ac:dyDescent="0.2">
      <c r="A25">
        <v>1</v>
      </c>
      <c r="B25">
        <v>2</v>
      </c>
      <c r="C25">
        <v>3</v>
      </c>
      <c r="D25">
        <v>4.49</v>
      </c>
      <c r="E25">
        <v>6</v>
      </c>
      <c r="F25">
        <v>11</v>
      </c>
      <c r="G25">
        <f t="shared" si="0"/>
        <v>66</v>
      </c>
      <c r="H25">
        <f>VLOOKUP(A25,fruit_size!$A$2:$E$5,4,FALSE)</f>
        <v>0.36</v>
      </c>
      <c r="I25">
        <f>VLOOKUP(A25,fruit_size!$A$2:$E$5,5,FALSE)</f>
        <v>0.28999999999999998</v>
      </c>
      <c r="J25" s="4">
        <f t="shared" si="1"/>
        <v>-0.19444444444444448</v>
      </c>
    </row>
    <row r="26" spans="1:10" x14ac:dyDescent="0.2">
      <c r="A26">
        <v>1</v>
      </c>
      <c r="B26">
        <v>2</v>
      </c>
      <c r="C26">
        <v>4</v>
      </c>
      <c r="D26">
        <v>3.52</v>
      </c>
      <c r="E26">
        <v>6</v>
      </c>
      <c r="F26">
        <v>11</v>
      </c>
      <c r="G26">
        <f t="shared" si="0"/>
        <v>66</v>
      </c>
      <c r="H26">
        <f>VLOOKUP(A26,fruit_size!$A$2:$E$5,4,FALSE)</f>
        <v>0.36</v>
      </c>
      <c r="I26">
        <f>VLOOKUP(A26,fruit_size!$A$2:$E$5,5,FALSE)</f>
        <v>0.28999999999999998</v>
      </c>
      <c r="J26" s="4">
        <f t="shared" si="1"/>
        <v>-0.19444444444444448</v>
      </c>
    </row>
    <row r="27" spans="1:10" x14ac:dyDescent="0.2">
      <c r="A27">
        <v>1</v>
      </c>
      <c r="B27">
        <v>2</v>
      </c>
      <c r="C27">
        <v>5</v>
      </c>
      <c r="D27">
        <v>3.49</v>
      </c>
      <c r="E27">
        <v>6</v>
      </c>
      <c r="F27">
        <v>11</v>
      </c>
      <c r="G27">
        <f t="shared" si="0"/>
        <v>66</v>
      </c>
      <c r="H27">
        <f>VLOOKUP(A27,fruit_size!$A$2:$E$5,4,FALSE)</f>
        <v>0.36</v>
      </c>
      <c r="I27">
        <f>VLOOKUP(A27,fruit_size!$A$2:$E$5,5,FALSE)</f>
        <v>0.28999999999999998</v>
      </c>
      <c r="J27" s="4">
        <f t="shared" si="1"/>
        <v>-0.19444444444444448</v>
      </c>
    </row>
    <row r="28" spans="1:10" x14ac:dyDescent="0.2">
      <c r="A28">
        <v>1</v>
      </c>
      <c r="B28">
        <v>2</v>
      </c>
      <c r="C28">
        <v>6</v>
      </c>
      <c r="D28">
        <v>3.89</v>
      </c>
      <c r="E28">
        <v>6</v>
      </c>
      <c r="F28">
        <v>11</v>
      </c>
      <c r="G28">
        <f t="shared" si="0"/>
        <v>66</v>
      </c>
      <c r="H28">
        <f>VLOOKUP(A28,fruit_size!$A$2:$E$5,4,FALSE)</f>
        <v>0.36</v>
      </c>
      <c r="I28">
        <f>VLOOKUP(A28,fruit_size!$A$2:$E$5,5,FALSE)</f>
        <v>0.28999999999999998</v>
      </c>
      <c r="J28" s="4">
        <f t="shared" si="1"/>
        <v>-0.19444444444444448</v>
      </c>
    </row>
    <row r="29" spans="1:10" x14ac:dyDescent="0.2">
      <c r="A29">
        <v>1</v>
      </c>
      <c r="B29">
        <v>2</v>
      </c>
      <c r="C29">
        <v>7</v>
      </c>
      <c r="D29">
        <v>4.28</v>
      </c>
      <c r="E29">
        <v>6</v>
      </c>
      <c r="F29">
        <v>11</v>
      </c>
      <c r="G29">
        <f t="shared" si="0"/>
        <v>66</v>
      </c>
      <c r="H29">
        <f>VLOOKUP(A29,fruit_size!$A$2:$E$5,4,FALSE)</f>
        <v>0.36</v>
      </c>
      <c r="I29">
        <f>VLOOKUP(A29,fruit_size!$A$2:$E$5,5,FALSE)</f>
        <v>0.28999999999999998</v>
      </c>
      <c r="J29" s="4">
        <f t="shared" si="1"/>
        <v>-0.19444444444444448</v>
      </c>
    </row>
    <row r="30" spans="1:10" x14ac:dyDescent="0.2">
      <c r="A30">
        <v>1</v>
      </c>
      <c r="B30">
        <v>2</v>
      </c>
      <c r="C30">
        <v>8</v>
      </c>
      <c r="D30">
        <v>3.89</v>
      </c>
      <c r="E30">
        <v>6</v>
      </c>
      <c r="F30">
        <v>11</v>
      </c>
      <c r="G30">
        <f t="shared" si="0"/>
        <v>66</v>
      </c>
      <c r="H30">
        <f>VLOOKUP(A30,fruit_size!$A$2:$E$5,4,FALSE)</f>
        <v>0.36</v>
      </c>
      <c r="I30">
        <f>VLOOKUP(A30,fruit_size!$A$2:$E$5,5,FALSE)</f>
        <v>0.28999999999999998</v>
      </c>
      <c r="J30" s="4">
        <f t="shared" si="1"/>
        <v>-0.19444444444444448</v>
      </c>
    </row>
    <row r="31" spans="1:10" x14ac:dyDescent="0.2">
      <c r="A31">
        <v>1</v>
      </c>
      <c r="B31">
        <v>2</v>
      </c>
      <c r="C31">
        <v>9</v>
      </c>
      <c r="D31">
        <v>4.5599999999999996</v>
      </c>
      <c r="E31">
        <v>6</v>
      </c>
      <c r="F31">
        <v>11</v>
      </c>
      <c r="G31">
        <f t="shared" si="0"/>
        <v>66</v>
      </c>
      <c r="H31">
        <f>VLOOKUP(A31,fruit_size!$A$2:$E$5,4,FALSE)</f>
        <v>0.36</v>
      </c>
      <c r="I31">
        <f>VLOOKUP(A31,fruit_size!$A$2:$E$5,5,FALSE)</f>
        <v>0.28999999999999998</v>
      </c>
      <c r="J31" s="4">
        <f t="shared" si="1"/>
        <v>-0.19444444444444448</v>
      </c>
    </row>
    <row r="32" spans="1:10" x14ac:dyDescent="0.2">
      <c r="A32">
        <v>1</v>
      </c>
      <c r="B32">
        <v>2</v>
      </c>
      <c r="C32">
        <v>10</v>
      </c>
      <c r="D32">
        <v>4.49</v>
      </c>
      <c r="E32">
        <v>6</v>
      </c>
      <c r="F32">
        <v>11</v>
      </c>
      <c r="G32">
        <f t="shared" si="0"/>
        <v>66</v>
      </c>
      <c r="H32">
        <f>VLOOKUP(A32,fruit_size!$A$2:$E$5,4,FALSE)</f>
        <v>0.36</v>
      </c>
      <c r="I32">
        <f>VLOOKUP(A32,fruit_size!$A$2:$E$5,5,FALSE)</f>
        <v>0.28999999999999998</v>
      </c>
      <c r="J32" s="4">
        <f t="shared" si="1"/>
        <v>-0.19444444444444448</v>
      </c>
    </row>
    <row r="33" spans="1:10" x14ac:dyDescent="0.2">
      <c r="A33">
        <v>1</v>
      </c>
      <c r="B33">
        <v>2</v>
      </c>
      <c r="C33">
        <v>11</v>
      </c>
      <c r="D33">
        <v>4.2300000000000004</v>
      </c>
      <c r="E33">
        <v>6</v>
      </c>
      <c r="F33">
        <v>11</v>
      </c>
      <c r="G33">
        <f t="shared" si="0"/>
        <v>66</v>
      </c>
      <c r="H33">
        <f>VLOOKUP(A33,fruit_size!$A$2:$E$5,4,FALSE)</f>
        <v>0.36</v>
      </c>
      <c r="I33">
        <f>VLOOKUP(A33,fruit_size!$A$2:$E$5,5,FALSE)</f>
        <v>0.28999999999999998</v>
      </c>
      <c r="J33" s="4">
        <f t="shared" si="1"/>
        <v>-0.19444444444444448</v>
      </c>
    </row>
    <row r="34" spans="1:10" x14ac:dyDescent="0.2">
      <c r="A34">
        <v>1</v>
      </c>
      <c r="B34">
        <v>2</v>
      </c>
      <c r="C34">
        <v>12</v>
      </c>
      <c r="D34">
        <v>4.4000000000000004</v>
      </c>
      <c r="E34">
        <v>6</v>
      </c>
      <c r="F34">
        <v>11</v>
      </c>
      <c r="G34">
        <f t="shared" si="0"/>
        <v>66</v>
      </c>
      <c r="H34">
        <f>VLOOKUP(A34,fruit_size!$A$2:$E$5,4,FALSE)</f>
        <v>0.36</v>
      </c>
      <c r="I34">
        <f>VLOOKUP(A34,fruit_size!$A$2:$E$5,5,FALSE)</f>
        <v>0.28999999999999998</v>
      </c>
      <c r="J34" s="4">
        <f t="shared" si="1"/>
        <v>-0.19444444444444448</v>
      </c>
    </row>
    <row r="35" spans="1:10" x14ac:dyDescent="0.2">
      <c r="A35">
        <v>1</v>
      </c>
      <c r="B35">
        <v>2</v>
      </c>
      <c r="C35">
        <v>13</v>
      </c>
      <c r="D35">
        <v>4.32</v>
      </c>
      <c r="E35">
        <v>6</v>
      </c>
      <c r="F35">
        <v>11</v>
      </c>
      <c r="G35">
        <f t="shared" si="0"/>
        <v>66</v>
      </c>
      <c r="H35">
        <f>VLOOKUP(A35,fruit_size!$A$2:$E$5,4,FALSE)</f>
        <v>0.36</v>
      </c>
      <c r="I35">
        <f>VLOOKUP(A35,fruit_size!$A$2:$E$5,5,FALSE)</f>
        <v>0.28999999999999998</v>
      </c>
      <c r="J35" s="4">
        <f t="shared" si="1"/>
        <v>-0.19444444444444448</v>
      </c>
    </row>
    <row r="36" spans="1:10" x14ac:dyDescent="0.2">
      <c r="A36">
        <v>1</v>
      </c>
      <c r="B36">
        <v>2</v>
      </c>
      <c r="C36">
        <v>14</v>
      </c>
      <c r="D36">
        <v>4.49</v>
      </c>
      <c r="E36">
        <v>6</v>
      </c>
      <c r="F36">
        <v>11</v>
      </c>
      <c r="G36">
        <f t="shared" si="0"/>
        <v>66</v>
      </c>
      <c r="H36">
        <f>VLOOKUP(A36,fruit_size!$A$2:$E$5,4,FALSE)</f>
        <v>0.36</v>
      </c>
      <c r="I36">
        <f>VLOOKUP(A36,fruit_size!$A$2:$E$5,5,FALSE)</f>
        <v>0.28999999999999998</v>
      </c>
      <c r="J36" s="4">
        <f t="shared" si="1"/>
        <v>-0.19444444444444448</v>
      </c>
    </row>
    <row r="37" spans="1:10" x14ac:dyDescent="0.2">
      <c r="A37">
        <v>1</v>
      </c>
      <c r="B37">
        <v>2</v>
      </c>
      <c r="C37">
        <v>15</v>
      </c>
      <c r="D37">
        <v>5.48</v>
      </c>
      <c r="E37">
        <v>6</v>
      </c>
      <c r="F37">
        <v>11</v>
      </c>
      <c r="G37">
        <f t="shared" si="0"/>
        <v>66</v>
      </c>
      <c r="H37">
        <f>VLOOKUP(A37,fruit_size!$A$2:$E$5,4,FALSE)</f>
        <v>0.36</v>
      </c>
      <c r="I37">
        <f>VLOOKUP(A37,fruit_size!$A$2:$E$5,5,FALSE)</f>
        <v>0.28999999999999998</v>
      </c>
      <c r="J37" s="4">
        <f t="shared" si="1"/>
        <v>-0.19444444444444448</v>
      </c>
    </row>
    <row r="38" spans="1:10" x14ac:dyDescent="0.2">
      <c r="A38">
        <v>1</v>
      </c>
      <c r="B38">
        <v>2</v>
      </c>
      <c r="C38">
        <v>16</v>
      </c>
      <c r="D38">
        <v>5.03</v>
      </c>
      <c r="E38">
        <v>6</v>
      </c>
      <c r="F38">
        <v>11</v>
      </c>
      <c r="G38">
        <f t="shared" si="0"/>
        <v>66</v>
      </c>
      <c r="H38">
        <f>VLOOKUP(A38,fruit_size!$A$2:$E$5,4,FALSE)</f>
        <v>0.36</v>
      </c>
      <c r="I38">
        <f>VLOOKUP(A38,fruit_size!$A$2:$E$5,5,FALSE)</f>
        <v>0.28999999999999998</v>
      </c>
      <c r="J38" s="4">
        <f t="shared" si="1"/>
        <v>-0.19444444444444448</v>
      </c>
    </row>
    <row r="39" spans="1:10" x14ac:dyDescent="0.2">
      <c r="A39">
        <v>1</v>
      </c>
      <c r="B39">
        <v>2</v>
      </c>
      <c r="C39">
        <v>17</v>
      </c>
      <c r="D39">
        <v>4.49</v>
      </c>
      <c r="E39">
        <v>6</v>
      </c>
      <c r="F39">
        <v>11</v>
      </c>
      <c r="G39">
        <f t="shared" si="0"/>
        <v>66</v>
      </c>
      <c r="H39">
        <f>VLOOKUP(A39,fruit_size!$A$2:$E$5,4,FALSE)</f>
        <v>0.36</v>
      </c>
      <c r="I39">
        <f>VLOOKUP(A39,fruit_size!$A$2:$E$5,5,FALSE)</f>
        <v>0.28999999999999998</v>
      </c>
      <c r="J39" s="4">
        <f t="shared" si="1"/>
        <v>-0.19444444444444448</v>
      </c>
    </row>
    <row r="40" spans="1:10" x14ac:dyDescent="0.2">
      <c r="A40">
        <v>1</v>
      </c>
      <c r="B40">
        <v>2</v>
      </c>
      <c r="C40">
        <v>18</v>
      </c>
      <c r="D40">
        <v>4.8</v>
      </c>
      <c r="E40">
        <v>6</v>
      </c>
      <c r="F40">
        <v>11</v>
      </c>
      <c r="G40">
        <f t="shared" si="0"/>
        <v>66</v>
      </c>
      <c r="H40">
        <f>VLOOKUP(A40,fruit_size!$A$2:$E$5,4,FALSE)</f>
        <v>0.36</v>
      </c>
      <c r="I40">
        <f>VLOOKUP(A40,fruit_size!$A$2:$E$5,5,FALSE)</f>
        <v>0.28999999999999998</v>
      </c>
      <c r="J40" s="4">
        <f t="shared" si="1"/>
        <v>-0.19444444444444448</v>
      </c>
    </row>
    <row r="41" spans="1:10" x14ac:dyDescent="0.2">
      <c r="A41">
        <v>1</v>
      </c>
      <c r="B41">
        <v>2</v>
      </c>
      <c r="C41">
        <v>19</v>
      </c>
      <c r="D41">
        <v>4.9400000000000004</v>
      </c>
      <c r="E41">
        <v>6</v>
      </c>
      <c r="F41">
        <v>11</v>
      </c>
      <c r="G41">
        <f t="shared" si="0"/>
        <v>66</v>
      </c>
      <c r="H41">
        <f>VLOOKUP(A41,fruit_size!$A$2:$E$5,4,FALSE)</f>
        <v>0.36</v>
      </c>
      <c r="I41">
        <f>VLOOKUP(A41,fruit_size!$A$2:$E$5,5,FALSE)</f>
        <v>0.28999999999999998</v>
      </c>
      <c r="J41" s="4">
        <f t="shared" si="1"/>
        <v>-0.19444444444444448</v>
      </c>
    </row>
    <row r="42" spans="1:10" x14ac:dyDescent="0.2">
      <c r="A42">
        <v>1</v>
      </c>
      <c r="B42">
        <v>2</v>
      </c>
      <c r="C42">
        <v>20</v>
      </c>
      <c r="D42">
        <v>4.8600000000000003</v>
      </c>
      <c r="E42">
        <v>6</v>
      </c>
      <c r="F42">
        <v>11</v>
      </c>
      <c r="G42">
        <f t="shared" si="0"/>
        <v>66</v>
      </c>
      <c r="H42">
        <f>VLOOKUP(A42,fruit_size!$A$2:$E$5,4,FALSE)</f>
        <v>0.36</v>
      </c>
      <c r="I42">
        <f>VLOOKUP(A42,fruit_size!$A$2:$E$5,5,FALSE)</f>
        <v>0.28999999999999998</v>
      </c>
      <c r="J42" s="4">
        <f t="shared" si="1"/>
        <v>-0.19444444444444448</v>
      </c>
    </row>
    <row r="43" spans="1:10" x14ac:dyDescent="0.2">
      <c r="A43">
        <v>1</v>
      </c>
      <c r="B43">
        <v>3</v>
      </c>
      <c r="C43">
        <v>1</v>
      </c>
      <c r="D43">
        <v>3.23</v>
      </c>
      <c r="E43">
        <v>6</v>
      </c>
      <c r="F43">
        <v>11</v>
      </c>
      <c r="G43">
        <f t="shared" si="0"/>
        <v>66</v>
      </c>
      <c r="H43">
        <f>VLOOKUP(A43,fruit_size!$A$2:$E$5,4,FALSE)</f>
        <v>0.36</v>
      </c>
      <c r="I43">
        <f>VLOOKUP(A43,fruit_size!$A$2:$E$5,5,FALSE)</f>
        <v>0.28999999999999998</v>
      </c>
      <c r="J43" s="4">
        <f t="shared" si="1"/>
        <v>-0.19444444444444448</v>
      </c>
    </row>
    <row r="44" spans="1:10" x14ac:dyDescent="0.2">
      <c r="A44">
        <v>1</v>
      </c>
      <c r="B44">
        <v>3</v>
      </c>
      <c r="C44">
        <v>2</v>
      </c>
      <c r="D44">
        <v>3.27</v>
      </c>
      <c r="E44">
        <v>6</v>
      </c>
      <c r="F44">
        <v>11</v>
      </c>
      <c r="G44">
        <f t="shared" si="0"/>
        <v>66</v>
      </c>
      <c r="H44">
        <f>VLOOKUP(A44,fruit_size!$A$2:$E$5,4,FALSE)</f>
        <v>0.36</v>
      </c>
      <c r="I44">
        <f>VLOOKUP(A44,fruit_size!$A$2:$E$5,5,FALSE)</f>
        <v>0.28999999999999998</v>
      </c>
      <c r="J44" s="4">
        <f t="shared" si="1"/>
        <v>-0.19444444444444448</v>
      </c>
    </row>
    <row r="45" spans="1:10" x14ac:dyDescent="0.2">
      <c r="A45">
        <v>1</v>
      </c>
      <c r="B45">
        <v>3</v>
      </c>
      <c r="C45">
        <v>3</v>
      </c>
      <c r="D45">
        <v>3.84</v>
      </c>
      <c r="E45">
        <v>6</v>
      </c>
      <c r="F45">
        <v>11</v>
      </c>
      <c r="G45">
        <f t="shared" si="0"/>
        <v>66</v>
      </c>
      <c r="H45">
        <f>VLOOKUP(A45,fruit_size!$A$2:$E$5,4,FALSE)</f>
        <v>0.36</v>
      </c>
      <c r="I45">
        <f>VLOOKUP(A45,fruit_size!$A$2:$E$5,5,FALSE)</f>
        <v>0.28999999999999998</v>
      </c>
      <c r="J45" s="4">
        <f t="shared" si="1"/>
        <v>-0.19444444444444448</v>
      </c>
    </row>
    <row r="46" spans="1:10" x14ac:dyDescent="0.2">
      <c r="A46">
        <v>1</v>
      </c>
      <c r="B46">
        <v>3</v>
      </c>
      <c r="C46">
        <v>4</v>
      </c>
      <c r="D46">
        <v>3.81</v>
      </c>
      <c r="E46">
        <v>6</v>
      </c>
      <c r="F46">
        <v>11</v>
      </c>
      <c r="G46">
        <f t="shared" si="0"/>
        <v>66</v>
      </c>
      <c r="H46">
        <f>VLOOKUP(A46,fruit_size!$A$2:$E$5,4,FALSE)</f>
        <v>0.36</v>
      </c>
      <c r="I46">
        <f>VLOOKUP(A46,fruit_size!$A$2:$E$5,5,FALSE)</f>
        <v>0.28999999999999998</v>
      </c>
      <c r="J46" s="4">
        <f t="shared" si="1"/>
        <v>-0.19444444444444448</v>
      </c>
    </row>
    <row r="47" spans="1:10" x14ac:dyDescent="0.2">
      <c r="A47">
        <v>1</v>
      </c>
      <c r="B47">
        <v>3</v>
      </c>
      <c r="C47">
        <v>5</v>
      </c>
      <c r="D47">
        <v>4.09</v>
      </c>
      <c r="E47">
        <v>6</v>
      </c>
      <c r="F47">
        <v>11</v>
      </c>
      <c r="G47">
        <f t="shared" si="0"/>
        <v>66</v>
      </c>
      <c r="H47">
        <f>VLOOKUP(A47,fruit_size!$A$2:$E$5,4,FALSE)</f>
        <v>0.36</v>
      </c>
      <c r="I47">
        <f>VLOOKUP(A47,fruit_size!$A$2:$E$5,5,FALSE)</f>
        <v>0.28999999999999998</v>
      </c>
      <c r="J47" s="4">
        <f t="shared" si="1"/>
        <v>-0.19444444444444448</v>
      </c>
    </row>
    <row r="48" spans="1:10" x14ac:dyDescent="0.2">
      <c r="A48">
        <v>1</v>
      </c>
      <c r="B48">
        <v>3</v>
      </c>
      <c r="C48">
        <v>6</v>
      </c>
      <c r="D48">
        <v>4.0599999999999996</v>
      </c>
      <c r="E48">
        <v>6</v>
      </c>
      <c r="F48">
        <v>11</v>
      </c>
      <c r="G48">
        <f t="shared" si="0"/>
        <v>66</v>
      </c>
      <c r="H48">
        <f>VLOOKUP(A48,fruit_size!$A$2:$E$5,4,FALSE)</f>
        <v>0.36</v>
      </c>
      <c r="I48">
        <f>VLOOKUP(A48,fruit_size!$A$2:$E$5,5,FALSE)</f>
        <v>0.28999999999999998</v>
      </c>
      <c r="J48" s="4">
        <f t="shared" si="1"/>
        <v>-0.19444444444444448</v>
      </c>
    </row>
    <row r="49" spans="1:10" x14ac:dyDescent="0.2">
      <c r="A49">
        <v>1</v>
      </c>
      <c r="B49">
        <v>3</v>
      </c>
      <c r="C49">
        <v>7</v>
      </c>
      <c r="D49">
        <v>2.84</v>
      </c>
      <c r="E49">
        <v>6</v>
      </c>
      <c r="F49">
        <v>11</v>
      </c>
      <c r="G49">
        <f t="shared" si="0"/>
        <v>66</v>
      </c>
      <c r="H49">
        <f>VLOOKUP(A49,fruit_size!$A$2:$E$5,4,FALSE)</f>
        <v>0.36</v>
      </c>
      <c r="I49">
        <f>VLOOKUP(A49,fruit_size!$A$2:$E$5,5,FALSE)</f>
        <v>0.28999999999999998</v>
      </c>
      <c r="J49" s="4">
        <f t="shared" si="1"/>
        <v>-0.19444444444444448</v>
      </c>
    </row>
    <row r="50" spans="1:10" x14ac:dyDescent="0.2">
      <c r="A50">
        <v>1</v>
      </c>
      <c r="B50">
        <v>3</v>
      </c>
      <c r="C50">
        <v>8</v>
      </c>
      <c r="D50">
        <v>2.77</v>
      </c>
      <c r="E50">
        <v>6</v>
      </c>
      <c r="F50">
        <v>11</v>
      </c>
      <c r="G50">
        <f t="shared" si="0"/>
        <v>66</v>
      </c>
      <c r="H50">
        <f>VLOOKUP(A50,fruit_size!$A$2:$E$5,4,FALSE)</f>
        <v>0.36</v>
      </c>
      <c r="I50">
        <f>VLOOKUP(A50,fruit_size!$A$2:$E$5,5,FALSE)</f>
        <v>0.28999999999999998</v>
      </c>
      <c r="J50" s="4">
        <f t="shared" si="1"/>
        <v>-0.19444444444444448</v>
      </c>
    </row>
    <row r="51" spans="1:10" x14ac:dyDescent="0.2">
      <c r="A51">
        <v>1</v>
      </c>
      <c r="B51">
        <v>3</v>
      </c>
      <c r="C51">
        <v>9</v>
      </c>
      <c r="D51">
        <v>3.27</v>
      </c>
      <c r="E51">
        <v>6</v>
      </c>
      <c r="F51">
        <v>11</v>
      </c>
      <c r="G51">
        <f t="shared" si="0"/>
        <v>66</v>
      </c>
      <c r="H51">
        <f>VLOOKUP(A51,fruit_size!$A$2:$E$5,4,FALSE)</f>
        <v>0.36</v>
      </c>
      <c r="I51">
        <f>VLOOKUP(A51,fruit_size!$A$2:$E$5,5,FALSE)</f>
        <v>0.28999999999999998</v>
      </c>
      <c r="J51" s="4">
        <f t="shared" si="1"/>
        <v>-0.19444444444444448</v>
      </c>
    </row>
    <row r="52" spans="1:10" x14ac:dyDescent="0.2">
      <c r="A52">
        <v>1</v>
      </c>
      <c r="B52">
        <v>3</v>
      </c>
      <c r="C52">
        <v>10</v>
      </c>
      <c r="D52">
        <v>3.08</v>
      </c>
      <c r="E52">
        <v>6</v>
      </c>
      <c r="F52">
        <v>11</v>
      </c>
      <c r="G52">
        <f t="shared" si="0"/>
        <v>66</v>
      </c>
      <c r="H52">
        <f>VLOOKUP(A52,fruit_size!$A$2:$E$5,4,FALSE)</f>
        <v>0.36</v>
      </c>
      <c r="I52">
        <f>VLOOKUP(A52,fruit_size!$A$2:$E$5,5,FALSE)</f>
        <v>0.28999999999999998</v>
      </c>
      <c r="J52" s="4">
        <f t="shared" si="1"/>
        <v>-0.19444444444444448</v>
      </c>
    </row>
    <row r="53" spans="1:10" x14ac:dyDescent="0.2">
      <c r="A53">
        <v>1</v>
      </c>
      <c r="B53">
        <v>3</v>
      </c>
      <c r="C53">
        <v>11</v>
      </c>
      <c r="D53">
        <v>3.46</v>
      </c>
      <c r="E53">
        <v>6</v>
      </c>
      <c r="F53">
        <v>11</v>
      </c>
      <c r="G53">
        <f t="shared" si="0"/>
        <v>66</v>
      </c>
      <c r="H53">
        <f>VLOOKUP(A53,fruit_size!$A$2:$E$5,4,FALSE)</f>
        <v>0.36</v>
      </c>
      <c r="I53">
        <f>VLOOKUP(A53,fruit_size!$A$2:$E$5,5,FALSE)</f>
        <v>0.28999999999999998</v>
      </c>
      <c r="J53" s="4">
        <f t="shared" si="1"/>
        <v>-0.19444444444444448</v>
      </c>
    </row>
    <row r="54" spans="1:10" x14ac:dyDescent="0.2">
      <c r="A54">
        <v>1</v>
      </c>
      <c r="B54">
        <v>3</v>
      </c>
      <c r="C54">
        <v>12</v>
      </c>
      <c r="D54">
        <v>4.78</v>
      </c>
      <c r="E54">
        <v>6</v>
      </c>
      <c r="F54">
        <v>11</v>
      </c>
      <c r="G54">
        <f t="shared" si="0"/>
        <v>66</v>
      </c>
      <c r="H54">
        <f>VLOOKUP(A54,fruit_size!$A$2:$E$5,4,FALSE)</f>
        <v>0.36</v>
      </c>
      <c r="I54">
        <f>VLOOKUP(A54,fruit_size!$A$2:$E$5,5,FALSE)</f>
        <v>0.28999999999999998</v>
      </c>
      <c r="J54" s="4">
        <f t="shared" si="1"/>
        <v>-0.19444444444444448</v>
      </c>
    </row>
    <row r="55" spans="1:10" x14ac:dyDescent="0.2">
      <c r="A55">
        <v>1</v>
      </c>
      <c r="B55">
        <v>3</v>
      </c>
      <c r="C55">
        <v>13</v>
      </c>
      <c r="D55">
        <v>3.4</v>
      </c>
      <c r="E55">
        <v>6</v>
      </c>
      <c r="F55">
        <v>11</v>
      </c>
      <c r="G55">
        <f t="shared" si="0"/>
        <v>66</v>
      </c>
      <c r="H55">
        <f>VLOOKUP(A55,fruit_size!$A$2:$E$5,4,FALSE)</f>
        <v>0.36</v>
      </c>
      <c r="I55">
        <f>VLOOKUP(A55,fruit_size!$A$2:$E$5,5,FALSE)</f>
        <v>0.28999999999999998</v>
      </c>
      <c r="J55" s="4">
        <f t="shared" si="1"/>
        <v>-0.19444444444444448</v>
      </c>
    </row>
    <row r="56" spans="1:10" x14ac:dyDescent="0.2">
      <c r="A56">
        <v>1</v>
      </c>
      <c r="B56">
        <v>3</v>
      </c>
      <c r="C56">
        <v>14</v>
      </c>
      <c r="D56">
        <v>3.5</v>
      </c>
      <c r="E56">
        <v>6</v>
      </c>
      <c r="F56">
        <v>11</v>
      </c>
      <c r="G56">
        <f t="shared" si="0"/>
        <v>66</v>
      </c>
      <c r="H56">
        <f>VLOOKUP(A56,fruit_size!$A$2:$E$5,4,FALSE)</f>
        <v>0.36</v>
      </c>
      <c r="I56">
        <f>VLOOKUP(A56,fruit_size!$A$2:$E$5,5,FALSE)</f>
        <v>0.28999999999999998</v>
      </c>
      <c r="J56" s="4">
        <f t="shared" si="1"/>
        <v>-0.19444444444444448</v>
      </c>
    </row>
    <row r="57" spans="1:10" x14ac:dyDescent="0.2">
      <c r="A57">
        <v>1</v>
      </c>
      <c r="B57">
        <v>3</v>
      </c>
      <c r="C57">
        <v>15</v>
      </c>
      <c r="D57">
        <v>4.9800000000000004</v>
      </c>
      <c r="E57">
        <v>6</v>
      </c>
      <c r="F57">
        <v>11</v>
      </c>
      <c r="G57">
        <f t="shared" si="0"/>
        <v>66</v>
      </c>
      <c r="H57">
        <f>VLOOKUP(A57,fruit_size!$A$2:$E$5,4,FALSE)</f>
        <v>0.36</v>
      </c>
      <c r="I57">
        <f>VLOOKUP(A57,fruit_size!$A$2:$E$5,5,FALSE)</f>
        <v>0.28999999999999998</v>
      </c>
      <c r="J57" s="4">
        <f t="shared" si="1"/>
        <v>-0.19444444444444448</v>
      </c>
    </row>
    <row r="58" spans="1:10" x14ac:dyDescent="0.2">
      <c r="A58">
        <v>1</v>
      </c>
      <c r="B58">
        <v>3</v>
      </c>
      <c r="C58">
        <v>16</v>
      </c>
      <c r="D58">
        <v>3.45</v>
      </c>
      <c r="E58">
        <v>6</v>
      </c>
      <c r="F58">
        <v>11</v>
      </c>
      <c r="G58">
        <f t="shared" si="0"/>
        <v>66</v>
      </c>
      <c r="H58">
        <f>VLOOKUP(A58,fruit_size!$A$2:$E$5,4,FALSE)</f>
        <v>0.36</v>
      </c>
      <c r="I58">
        <f>VLOOKUP(A58,fruit_size!$A$2:$E$5,5,FALSE)</f>
        <v>0.28999999999999998</v>
      </c>
      <c r="J58" s="4">
        <f t="shared" si="1"/>
        <v>-0.19444444444444448</v>
      </c>
    </row>
    <row r="59" spans="1:10" x14ac:dyDescent="0.2">
      <c r="A59">
        <v>1</v>
      </c>
      <c r="B59">
        <v>3</v>
      </c>
      <c r="C59">
        <v>17</v>
      </c>
      <c r="D59">
        <v>3.62</v>
      </c>
      <c r="E59">
        <v>6</v>
      </c>
      <c r="F59">
        <v>11</v>
      </c>
      <c r="G59">
        <f t="shared" si="0"/>
        <v>66</v>
      </c>
      <c r="H59">
        <f>VLOOKUP(A59,fruit_size!$A$2:$E$5,4,FALSE)</f>
        <v>0.36</v>
      </c>
      <c r="I59">
        <f>VLOOKUP(A59,fruit_size!$A$2:$E$5,5,FALSE)</f>
        <v>0.28999999999999998</v>
      </c>
      <c r="J59" s="4">
        <f t="shared" si="1"/>
        <v>-0.19444444444444448</v>
      </c>
    </row>
    <row r="60" spans="1:10" x14ac:dyDescent="0.2">
      <c r="A60">
        <v>1</v>
      </c>
      <c r="B60">
        <v>3</v>
      </c>
      <c r="C60">
        <v>18</v>
      </c>
      <c r="D60">
        <v>4.33</v>
      </c>
      <c r="E60">
        <v>6</v>
      </c>
      <c r="F60">
        <v>11</v>
      </c>
      <c r="G60">
        <f t="shared" si="0"/>
        <v>66</v>
      </c>
      <c r="H60">
        <f>VLOOKUP(A60,fruit_size!$A$2:$E$5,4,FALSE)</f>
        <v>0.36</v>
      </c>
      <c r="I60">
        <f>VLOOKUP(A60,fruit_size!$A$2:$E$5,5,FALSE)</f>
        <v>0.28999999999999998</v>
      </c>
      <c r="J60" s="4">
        <f t="shared" si="1"/>
        <v>-0.19444444444444448</v>
      </c>
    </row>
    <row r="61" spans="1:10" x14ac:dyDescent="0.2">
      <c r="A61">
        <v>1</v>
      </c>
      <c r="B61">
        <v>3</v>
      </c>
      <c r="C61">
        <v>19</v>
      </c>
      <c r="D61">
        <v>3.64</v>
      </c>
      <c r="E61">
        <v>6</v>
      </c>
      <c r="F61">
        <v>11</v>
      </c>
      <c r="G61">
        <f t="shared" si="0"/>
        <v>66</v>
      </c>
      <c r="H61">
        <f>VLOOKUP(A61,fruit_size!$A$2:$E$5,4,FALSE)</f>
        <v>0.36</v>
      </c>
      <c r="I61">
        <f>VLOOKUP(A61,fruit_size!$A$2:$E$5,5,FALSE)</f>
        <v>0.28999999999999998</v>
      </c>
      <c r="J61" s="4">
        <f t="shared" si="1"/>
        <v>-0.19444444444444448</v>
      </c>
    </row>
    <row r="62" spans="1:10" x14ac:dyDescent="0.2">
      <c r="A62">
        <v>1</v>
      </c>
      <c r="B62">
        <v>3</v>
      </c>
      <c r="C62">
        <v>20</v>
      </c>
      <c r="D62">
        <v>3.52</v>
      </c>
      <c r="E62">
        <v>6</v>
      </c>
      <c r="F62">
        <v>11</v>
      </c>
      <c r="G62">
        <f t="shared" si="0"/>
        <v>66</v>
      </c>
      <c r="H62">
        <f>VLOOKUP(A62,fruit_size!$A$2:$E$5,4,FALSE)</f>
        <v>0.36</v>
      </c>
      <c r="I62">
        <f>VLOOKUP(A62,fruit_size!$A$2:$E$5,5,FALSE)</f>
        <v>0.28999999999999998</v>
      </c>
      <c r="J62" s="4">
        <f t="shared" si="1"/>
        <v>-0.19444444444444448</v>
      </c>
    </row>
    <row r="63" spans="1:10" x14ac:dyDescent="0.2">
      <c r="A63">
        <v>1</v>
      </c>
      <c r="B63">
        <v>4</v>
      </c>
      <c r="C63">
        <v>1</v>
      </c>
      <c r="D63">
        <v>3.42</v>
      </c>
      <c r="E63">
        <v>6</v>
      </c>
      <c r="F63">
        <v>11</v>
      </c>
      <c r="G63">
        <f t="shared" si="0"/>
        <v>66</v>
      </c>
      <c r="H63">
        <f>VLOOKUP(A63,fruit_size!$A$2:$E$5,4,FALSE)</f>
        <v>0.36</v>
      </c>
      <c r="I63">
        <f>VLOOKUP(A63,fruit_size!$A$2:$E$5,5,FALSE)</f>
        <v>0.28999999999999998</v>
      </c>
      <c r="J63" s="4">
        <f t="shared" si="1"/>
        <v>-0.19444444444444448</v>
      </c>
    </row>
    <row r="64" spans="1:10" x14ac:dyDescent="0.2">
      <c r="A64">
        <v>1</v>
      </c>
      <c r="B64">
        <v>4</v>
      </c>
      <c r="C64">
        <v>2</v>
      </c>
      <c r="D64">
        <v>2.93</v>
      </c>
      <c r="E64">
        <v>6</v>
      </c>
      <c r="F64">
        <v>11</v>
      </c>
      <c r="G64">
        <f t="shared" si="0"/>
        <v>66</v>
      </c>
      <c r="H64">
        <f>VLOOKUP(A64,fruit_size!$A$2:$E$5,4,FALSE)</f>
        <v>0.36</v>
      </c>
      <c r="I64">
        <f>VLOOKUP(A64,fruit_size!$A$2:$E$5,5,FALSE)</f>
        <v>0.28999999999999998</v>
      </c>
      <c r="J64" s="4">
        <f t="shared" si="1"/>
        <v>-0.19444444444444448</v>
      </c>
    </row>
    <row r="65" spans="1:10" x14ac:dyDescent="0.2">
      <c r="A65">
        <v>1</v>
      </c>
      <c r="B65">
        <v>4</v>
      </c>
      <c r="C65">
        <v>3</v>
      </c>
      <c r="D65">
        <v>3.1</v>
      </c>
      <c r="E65">
        <v>6</v>
      </c>
      <c r="F65">
        <v>11</v>
      </c>
      <c r="G65">
        <f t="shared" si="0"/>
        <v>66</v>
      </c>
      <c r="H65">
        <f>VLOOKUP(A65,fruit_size!$A$2:$E$5,4,FALSE)</f>
        <v>0.36</v>
      </c>
      <c r="I65">
        <f>VLOOKUP(A65,fruit_size!$A$2:$E$5,5,FALSE)</f>
        <v>0.28999999999999998</v>
      </c>
      <c r="J65" s="4">
        <f t="shared" si="1"/>
        <v>-0.19444444444444448</v>
      </c>
    </row>
    <row r="66" spans="1:10" x14ac:dyDescent="0.2">
      <c r="A66">
        <v>1</v>
      </c>
      <c r="B66">
        <v>4</v>
      </c>
      <c r="C66">
        <v>4</v>
      </c>
      <c r="D66">
        <v>3.94</v>
      </c>
      <c r="E66">
        <v>6</v>
      </c>
      <c r="F66">
        <v>11</v>
      </c>
      <c r="G66">
        <f t="shared" si="0"/>
        <v>66</v>
      </c>
      <c r="H66">
        <f>VLOOKUP(A66,fruit_size!$A$2:$E$5,4,FALSE)</f>
        <v>0.36</v>
      </c>
      <c r="I66">
        <f>VLOOKUP(A66,fruit_size!$A$2:$E$5,5,FALSE)</f>
        <v>0.28999999999999998</v>
      </c>
      <c r="J66" s="4">
        <f t="shared" si="1"/>
        <v>-0.19444444444444448</v>
      </c>
    </row>
    <row r="67" spans="1:10" x14ac:dyDescent="0.2">
      <c r="A67">
        <v>1</v>
      </c>
      <c r="B67">
        <v>4</v>
      </c>
      <c r="C67">
        <v>5</v>
      </c>
      <c r="D67">
        <v>3.04</v>
      </c>
      <c r="E67">
        <v>6</v>
      </c>
      <c r="F67">
        <v>11</v>
      </c>
      <c r="G67">
        <f t="shared" si="0"/>
        <v>66</v>
      </c>
      <c r="H67">
        <f>VLOOKUP(A67,fruit_size!$A$2:$E$5,4,FALSE)</f>
        <v>0.36</v>
      </c>
      <c r="I67">
        <f>VLOOKUP(A67,fruit_size!$A$2:$E$5,5,FALSE)</f>
        <v>0.28999999999999998</v>
      </c>
      <c r="J67" s="4">
        <f t="shared" si="1"/>
        <v>-0.19444444444444448</v>
      </c>
    </row>
    <row r="68" spans="1:10" x14ac:dyDescent="0.2">
      <c r="A68">
        <v>1</v>
      </c>
      <c r="B68">
        <v>4</v>
      </c>
      <c r="C68">
        <v>6</v>
      </c>
      <c r="D68">
        <v>3.1</v>
      </c>
      <c r="E68">
        <v>6</v>
      </c>
      <c r="F68">
        <v>11</v>
      </c>
      <c r="G68">
        <f t="shared" ref="G68:G131" si="2">E68*F68</f>
        <v>66</v>
      </c>
      <c r="H68">
        <f>VLOOKUP(A68,fruit_size!$A$2:$E$5,4,FALSE)</f>
        <v>0.36</v>
      </c>
      <c r="I68">
        <f>VLOOKUP(A68,fruit_size!$A$2:$E$5,5,FALSE)</f>
        <v>0.28999999999999998</v>
      </c>
      <c r="J68" s="4">
        <f t="shared" ref="J68:J131" si="3">(I68-H68)/H68</f>
        <v>-0.19444444444444448</v>
      </c>
    </row>
    <row r="69" spans="1:10" x14ac:dyDescent="0.2">
      <c r="A69">
        <v>1</v>
      </c>
      <c r="B69">
        <v>4</v>
      </c>
      <c r="C69">
        <v>7</v>
      </c>
      <c r="D69">
        <v>3.5</v>
      </c>
      <c r="E69">
        <v>6</v>
      </c>
      <c r="F69">
        <v>11</v>
      </c>
      <c r="G69">
        <f t="shared" si="2"/>
        <v>66</v>
      </c>
      <c r="H69">
        <f>VLOOKUP(A69,fruit_size!$A$2:$E$5,4,FALSE)</f>
        <v>0.36</v>
      </c>
      <c r="I69">
        <f>VLOOKUP(A69,fruit_size!$A$2:$E$5,5,FALSE)</f>
        <v>0.28999999999999998</v>
      </c>
      <c r="J69" s="4">
        <f t="shared" si="3"/>
        <v>-0.19444444444444448</v>
      </c>
    </row>
    <row r="70" spans="1:10" x14ac:dyDescent="0.2">
      <c r="A70">
        <v>1</v>
      </c>
      <c r="B70">
        <v>4</v>
      </c>
      <c r="C70">
        <v>8</v>
      </c>
      <c r="D70">
        <v>3.42</v>
      </c>
      <c r="E70">
        <v>6</v>
      </c>
      <c r="F70">
        <v>11</v>
      </c>
      <c r="G70">
        <f t="shared" si="2"/>
        <v>66</v>
      </c>
      <c r="H70">
        <f>VLOOKUP(A70,fruit_size!$A$2:$E$5,4,FALSE)</f>
        <v>0.36</v>
      </c>
      <c r="I70">
        <f>VLOOKUP(A70,fruit_size!$A$2:$E$5,5,FALSE)</f>
        <v>0.28999999999999998</v>
      </c>
      <c r="J70" s="4">
        <f t="shared" si="3"/>
        <v>-0.19444444444444448</v>
      </c>
    </row>
    <row r="71" spans="1:10" x14ac:dyDescent="0.2">
      <c r="A71">
        <v>1</v>
      </c>
      <c r="B71">
        <v>4</v>
      </c>
      <c r="C71">
        <v>9</v>
      </c>
      <c r="D71">
        <v>3.41</v>
      </c>
      <c r="E71">
        <v>6</v>
      </c>
      <c r="F71">
        <v>11</v>
      </c>
      <c r="G71">
        <f t="shared" si="2"/>
        <v>66</v>
      </c>
      <c r="H71">
        <f>VLOOKUP(A71,fruit_size!$A$2:$E$5,4,FALSE)</f>
        <v>0.36</v>
      </c>
      <c r="I71">
        <f>VLOOKUP(A71,fruit_size!$A$2:$E$5,5,FALSE)</f>
        <v>0.28999999999999998</v>
      </c>
      <c r="J71" s="4">
        <f t="shared" si="3"/>
        <v>-0.19444444444444448</v>
      </c>
    </row>
    <row r="72" spans="1:10" x14ac:dyDescent="0.2">
      <c r="A72">
        <v>1</v>
      </c>
      <c r="B72">
        <v>4</v>
      </c>
      <c r="C72">
        <v>10</v>
      </c>
      <c r="D72">
        <v>3.42</v>
      </c>
      <c r="E72">
        <v>6</v>
      </c>
      <c r="F72">
        <v>11</v>
      </c>
      <c r="G72">
        <f t="shared" si="2"/>
        <v>66</v>
      </c>
      <c r="H72">
        <f>VLOOKUP(A72,fruit_size!$A$2:$E$5,4,FALSE)</f>
        <v>0.36</v>
      </c>
      <c r="I72">
        <f>VLOOKUP(A72,fruit_size!$A$2:$E$5,5,FALSE)</f>
        <v>0.28999999999999998</v>
      </c>
      <c r="J72" s="4">
        <f t="shared" si="3"/>
        <v>-0.19444444444444448</v>
      </c>
    </row>
    <row r="73" spans="1:10" x14ac:dyDescent="0.2">
      <c r="A73">
        <v>1</v>
      </c>
      <c r="B73">
        <v>4</v>
      </c>
      <c r="C73">
        <v>11</v>
      </c>
      <c r="D73">
        <v>3.73</v>
      </c>
      <c r="E73">
        <v>6</v>
      </c>
      <c r="F73">
        <v>11</v>
      </c>
      <c r="G73">
        <f t="shared" si="2"/>
        <v>66</v>
      </c>
      <c r="H73">
        <f>VLOOKUP(A73,fruit_size!$A$2:$E$5,4,FALSE)</f>
        <v>0.36</v>
      </c>
      <c r="I73">
        <f>VLOOKUP(A73,fruit_size!$A$2:$E$5,5,FALSE)</f>
        <v>0.28999999999999998</v>
      </c>
      <c r="J73" s="4">
        <f t="shared" si="3"/>
        <v>-0.19444444444444448</v>
      </c>
    </row>
    <row r="74" spans="1:10" x14ac:dyDescent="0.2">
      <c r="A74">
        <v>1</v>
      </c>
      <c r="B74">
        <v>4</v>
      </c>
      <c r="C74">
        <v>12</v>
      </c>
      <c r="D74">
        <v>3.91</v>
      </c>
      <c r="E74">
        <v>6</v>
      </c>
      <c r="F74">
        <v>11</v>
      </c>
      <c r="G74">
        <f t="shared" si="2"/>
        <v>66</v>
      </c>
      <c r="H74">
        <f>VLOOKUP(A74,fruit_size!$A$2:$E$5,4,FALSE)</f>
        <v>0.36</v>
      </c>
      <c r="I74">
        <f>VLOOKUP(A74,fruit_size!$A$2:$E$5,5,FALSE)</f>
        <v>0.28999999999999998</v>
      </c>
      <c r="J74" s="4">
        <f t="shared" si="3"/>
        <v>-0.19444444444444448</v>
      </c>
    </row>
    <row r="75" spans="1:10" x14ac:dyDescent="0.2">
      <c r="A75">
        <v>1</v>
      </c>
      <c r="B75">
        <v>4</v>
      </c>
      <c r="C75">
        <v>13</v>
      </c>
      <c r="D75">
        <v>3.52</v>
      </c>
      <c r="E75">
        <v>6</v>
      </c>
      <c r="F75">
        <v>11</v>
      </c>
      <c r="G75">
        <f t="shared" si="2"/>
        <v>66</v>
      </c>
      <c r="H75">
        <f>VLOOKUP(A75,fruit_size!$A$2:$E$5,4,FALSE)</f>
        <v>0.36</v>
      </c>
      <c r="I75">
        <f>VLOOKUP(A75,fruit_size!$A$2:$E$5,5,FALSE)</f>
        <v>0.28999999999999998</v>
      </c>
      <c r="J75" s="4">
        <f t="shared" si="3"/>
        <v>-0.19444444444444448</v>
      </c>
    </row>
    <row r="76" spans="1:10" x14ac:dyDescent="0.2">
      <c r="A76">
        <v>1</v>
      </c>
      <c r="B76">
        <v>4</v>
      </c>
      <c r="C76">
        <v>14</v>
      </c>
      <c r="D76">
        <v>3.24</v>
      </c>
      <c r="E76">
        <v>6</v>
      </c>
      <c r="F76">
        <v>11</v>
      </c>
      <c r="G76">
        <f t="shared" si="2"/>
        <v>66</v>
      </c>
      <c r="H76">
        <f>VLOOKUP(A76,fruit_size!$A$2:$E$5,4,FALSE)</f>
        <v>0.36</v>
      </c>
      <c r="I76">
        <f>VLOOKUP(A76,fruit_size!$A$2:$E$5,5,FALSE)</f>
        <v>0.28999999999999998</v>
      </c>
      <c r="J76" s="4">
        <f t="shared" si="3"/>
        <v>-0.19444444444444448</v>
      </c>
    </row>
    <row r="77" spans="1:10" x14ac:dyDescent="0.2">
      <c r="A77">
        <v>1</v>
      </c>
      <c r="B77">
        <v>4</v>
      </c>
      <c r="C77">
        <v>15</v>
      </c>
      <c r="D77">
        <v>3.6</v>
      </c>
      <c r="E77">
        <v>6</v>
      </c>
      <c r="F77">
        <v>11</v>
      </c>
      <c r="G77">
        <f t="shared" si="2"/>
        <v>66</v>
      </c>
      <c r="H77">
        <f>VLOOKUP(A77,fruit_size!$A$2:$E$5,4,FALSE)</f>
        <v>0.36</v>
      </c>
      <c r="I77">
        <f>VLOOKUP(A77,fruit_size!$A$2:$E$5,5,FALSE)</f>
        <v>0.28999999999999998</v>
      </c>
      <c r="J77" s="4">
        <f t="shared" si="3"/>
        <v>-0.19444444444444448</v>
      </c>
    </row>
    <row r="78" spans="1:10" x14ac:dyDescent="0.2">
      <c r="A78">
        <v>1</v>
      </c>
      <c r="B78">
        <v>4</v>
      </c>
      <c r="C78">
        <v>16</v>
      </c>
      <c r="D78">
        <v>3.38</v>
      </c>
      <c r="E78">
        <v>6</v>
      </c>
      <c r="F78">
        <v>11</v>
      </c>
      <c r="G78">
        <f t="shared" si="2"/>
        <v>66</v>
      </c>
      <c r="H78">
        <f>VLOOKUP(A78,fruit_size!$A$2:$E$5,4,FALSE)</f>
        <v>0.36</v>
      </c>
      <c r="I78">
        <f>VLOOKUP(A78,fruit_size!$A$2:$E$5,5,FALSE)</f>
        <v>0.28999999999999998</v>
      </c>
      <c r="J78" s="4">
        <f t="shared" si="3"/>
        <v>-0.19444444444444448</v>
      </c>
    </row>
    <row r="79" spans="1:10" x14ac:dyDescent="0.2">
      <c r="A79">
        <v>1</v>
      </c>
      <c r="B79">
        <v>4</v>
      </c>
      <c r="C79">
        <v>17</v>
      </c>
      <c r="D79">
        <v>3.66</v>
      </c>
      <c r="E79">
        <v>6</v>
      </c>
      <c r="F79">
        <v>11</v>
      </c>
      <c r="G79">
        <f t="shared" si="2"/>
        <v>66</v>
      </c>
      <c r="H79">
        <f>VLOOKUP(A79,fruit_size!$A$2:$E$5,4,FALSE)</f>
        <v>0.36</v>
      </c>
      <c r="I79">
        <f>VLOOKUP(A79,fruit_size!$A$2:$E$5,5,FALSE)</f>
        <v>0.28999999999999998</v>
      </c>
      <c r="J79" s="4">
        <f t="shared" si="3"/>
        <v>-0.19444444444444448</v>
      </c>
    </row>
    <row r="80" spans="1:10" x14ac:dyDescent="0.2">
      <c r="A80">
        <v>1</v>
      </c>
      <c r="B80">
        <v>4</v>
      </c>
      <c r="C80">
        <v>18</v>
      </c>
      <c r="D80">
        <v>3.76</v>
      </c>
      <c r="E80">
        <v>6</v>
      </c>
      <c r="F80">
        <v>11</v>
      </c>
      <c r="G80">
        <f t="shared" si="2"/>
        <v>66</v>
      </c>
      <c r="H80">
        <f>VLOOKUP(A80,fruit_size!$A$2:$E$5,4,FALSE)</f>
        <v>0.36</v>
      </c>
      <c r="I80">
        <f>VLOOKUP(A80,fruit_size!$A$2:$E$5,5,FALSE)</f>
        <v>0.28999999999999998</v>
      </c>
      <c r="J80" s="4">
        <f t="shared" si="3"/>
        <v>-0.19444444444444448</v>
      </c>
    </row>
    <row r="81" spans="1:10" x14ac:dyDescent="0.2">
      <c r="A81">
        <v>1</v>
      </c>
      <c r="B81">
        <v>4</v>
      </c>
      <c r="C81">
        <v>19</v>
      </c>
      <c r="D81">
        <v>3.5</v>
      </c>
      <c r="E81">
        <v>6</v>
      </c>
      <c r="F81">
        <v>11</v>
      </c>
      <c r="G81">
        <f t="shared" si="2"/>
        <v>66</v>
      </c>
      <c r="H81">
        <f>VLOOKUP(A81,fruit_size!$A$2:$E$5,4,FALSE)</f>
        <v>0.36</v>
      </c>
      <c r="I81">
        <f>VLOOKUP(A81,fruit_size!$A$2:$E$5,5,FALSE)</f>
        <v>0.28999999999999998</v>
      </c>
      <c r="J81" s="4">
        <f t="shared" si="3"/>
        <v>-0.19444444444444448</v>
      </c>
    </row>
    <row r="82" spans="1:10" x14ac:dyDescent="0.2">
      <c r="A82">
        <v>1</v>
      </c>
      <c r="B82">
        <v>4</v>
      </c>
      <c r="C82">
        <v>20</v>
      </c>
      <c r="D82">
        <v>3.59</v>
      </c>
      <c r="E82">
        <v>6</v>
      </c>
      <c r="F82">
        <v>11</v>
      </c>
      <c r="G82">
        <f t="shared" si="2"/>
        <v>66</v>
      </c>
      <c r="H82">
        <f>VLOOKUP(A82,fruit_size!$A$2:$E$5,4,FALSE)</f>
        <v>0.36</v>
      </c>
      <c r="I82">
        <f>VLOOKUP(A82,fruit_size!$A$2:$E$5,5,FALSE)</f>
        <v>0.28999999999999998</v>
      </c>
      <c r="J82" s="4">
        <f t="shared" si="3"/>
        <v>-0.19444444444444448</v>
      </c>
    </row>
    <row r="83" spans="1:10" x14ac:dyDescent="0.2">
      <c r="A83">
        <v>2</v>
      </c>
      <c r="B83">
        <v>1</v>
      </c>
      <c r="C83">
        <v>1</v>
      </c>
      <c r="D83">
        <v>3.39</v>
      </c>
      <c r="E83">
        <v>8</v>
      </c>
      <c r="F83">
        <v>14</v>
      </c>
      <c r="G83">
        <f t="shared" si="2"/>
        <v>112</v>
      </c>
      <c r="H83">
        <f>VLOOKUP(A83,fruit_size!$A$2:$E$5,4,FALSE)</f>
        <v>0.31</v>
      </c>
      <c r="I83">
        <f>VLOOKUP(A83,fruit_size!$A$2:$E$5,5,FALSE)</f>
        <v>0.31</v>
      </c>
      <c r="J83" s="4">
        <f t="shared" si="3"/>
        <v>0</v>
      </c>
    </row>
    <row r="84" spans="1:10" x14ac:dyDescent="0.2">
      <c r="A84">
        <v>2</v>
      </c>
      <c r="B84">
        <v>1</v>
      </c>
      <c r="C84">
        <v>2</v>
      </c>
      <c r="D84">
        <v>4.1399999999999997</v>
      </c>
      <c r="E84">
        <v>8</v>
      </c>
      <c r="F84">
        <v>14</v>
      </c>
      <c r="G84">
        <f t="shared" si="2"/>
        <v>112</v>
      </c>
      <c r="H84">
        <f>VLOOKUP(A84,fruit_size!$A$2:$E$5,4,FALSE)</f>
        <v>0.31</v>
      </c>
      <c r="I84">
        <f>VLOOKUP(A84,fruit_size!$A$2:$E$5,5,FALSE)</f>
        <v>0.31</v>
      </c>
      <c r="J84" s="4">
        <f t="shared" si="3"/>
        <v>0</v>
      </c>
    </row>
    <row r="85" spans="1:10" x14ac:dyDescent="0.2">
      <c r="A85">
        <v>2</v>
      </c>
      <c r="B85">
        <v>1</v>
      </c>
      <c r="C85">
        <v>3</v>
      </c>
      <c r="D85">
        <v>3.65</v>
      </c>
      <c r="E85">
        <v>8</v>
      </c>
      <c r="F85">
        <v>14</v>
      </c>
      <c r="G85">
        <f t="shared" si="2"/>
        <v>112</v>
      </c>
      <c r="H85">
        <f>VLOOKUP(A85,fruit_size!$A$2:$E$5,4,FALSE)</f>
        <v>0.31</v>
      </c>
      <c r="I85">
        <f>VLOOKUP(A85,fruit_size!$A$2:$E$5,5,FALSE)</f>
        <v>0.31</v>
      </c>
      <c r="J85" s="4">
        <f t="shared" si="3"/>
        <v>0</v>
      </c>
    </row>
    <row r="86" spans="1:10" x14ac:dyDescent="0.2">
      <c r="A86">
        <v>2</v>
      </c>
      <c r="B86">
        <v>1</v>
      </c>
      <c r="C86">
        <v>4</v>
      </c>
      <c r="D86">
        <v>3.9</v>
      </c>
      <c r="E86">
        <v>8</v>
      </c>
      <c r="F86">
        <v>14</v>
      </c>
      <c r="G86">
        <f t="shared" si="2"/>
        <v>112</v>
      </c>
      <c r="H86">
        <f>VLOOKUP(A86,fruit_size!$A$2:$E$5,4,FALSE)</f>
        <v>0.31</v>
      </c>
      <c r="I86">
        <f>VLOOKUP(A86,fruit_size!$A$2:$E$5,5,FALSE)</f>
        <v>0.31</v>
      </c>
      <c r="J86" s="4">
        <f t="shared" si="3"/>
        <v>0</v>
      </c>
    </row>
    <row r="87" spans="1:10" x14ac:dyDescent="0.2">
      <c r="A87">
        <v>2</v>
      </c>
      <c r="B87">
        <v>1</v>
      </c>
      <c r="C87">
        <v>5</v>
      </c>
      <c r="D87">
        <v>3.91</v>
      </c>
      <c r="E87">
        <v>8</v>
      </c>
      <c r="F87">
        <v>14</v>
      </c>
      <c r="G87">
        <f t="shared" si="2"/>
        <v>112</v>
      </c>
      <c r="H87">
        <f>VLOOKUP(A87,fruit_size!$A$2:$E$5,4,FALSE)</f>
        <v>0.31</v>
      </c>
      <c r="I87">
        <f>VLOOKUP(A87,fruit_size!$A$2:$E$5,5,FALSE)</f>
        <v>0.31</v>
      </c>
      <c r="J87" s="4">
        <f t="shared" si="3"/>
        <v>0</v>
      </c>
    </row>
    <row r="88" spans="1:10" x14ac:dyDescent="0.2">
      <c r="A88">
        <v>2</v>
      </c>
      <c r="B88">
        <v>1</v>
      </c>
      <c r="C88">
        <v>6</v>
      </c>
      <c r="D88">
        <v>3.84</v>
      </c>
      <c r="E88">
        <v>8</v>
      </c>
      <c r="F88">
        <v>14</v>
      </c>
      <c r="G88">
        <f t="shared" si="2"/>
        <v>112</v>
      </c>
      <c r="H88">
        <f>VLOOKUP(A88,fruit_size!$A$2:$E$5,4,FALSE)</f>
        <v>0.31</v>
      </c>
      <c r="I88">
        <f>VLOOKUP(A88,fruit_size!$A$2:$E$5,5,FALSE)</f>
        <v>0.31</v>
      </c>
      <c r="J88" s="4">
        <f t="shared" si="3"/>
        <v>0</v>
      </c>
    </row>
    <row r="89" spans="1:10" x14ac:dyDescent="0.2">
      <c r="A89">
        <v>2</v>
      </c>
      <c r="B89">
        <v>1</v>
      </c>
      <c r="C89">
        <v>7</v>
      </c>
      <c r="D89">
        <v>3.87</v>
      </c>
      <c r="E89">
        <v>8</v>
      </c>
      <c r="F89">
        <v>14</v>
      </c>
      <c r="G89">
        <f t="shared" si="2"/>
        <v>112</v>
      </c>
      <c r="H89">
        <f>VLOOKUP(A89,fruit_size!$A$2:$E$5,4,FALSE)</f>
        <v>0.31</v>
      </c>
      <c r="I89">
        <f>VLOOKUP(A89,fruit_size!$A$2:$E$5,5,FALSE)</f>
        <v>0.31</v>
      </c>
      <c r="J89" s="4">
        <f t="shared" si="3"/>
        <v>0</v>
      </c>
    </row>
    <row r="90" spans="1:10" x14ac:dyDescent="0.2">
      <c r="A90">
        <v>2</v>
      </c>
      <c r="B90">
        <v>1</v>
      </c>
      <c r="C90">
        <v>8</v>
      </c>
      <c r="D90">
        <v>4.08</v>
      </c>
      <c r="E90">
        <v>8</v>
      </c>
      <c r="F90">
        <v>14</v>
      </c>
      <c r="G90">
        <f t="shared" si="2"/>
        <v>112</v>
      </c>
      <c r="H90">
        <f>VLOOKUP(A90,fruit_size!$A$2:$E$5,4,FALSE)</f>
        <v>0.31</v>
      </c>
      <c r="I90">
        <f>VLOOKUP(A90,fruit_size!$A$2:$E$5,5,FALSE)</f>
        <v>0.31</v>
      </c>
      <c r="J90" s="4">
        <f t="shared" si="3"/>
        <v>0</v>
      </c>
    </row>
    <row r="91" spans="1:10" x14ac:dyDescent="0.2">
      <c r="A91">
        <v>2</v>
      </c>
      <c r="B91">
        <v>1</v>
      </c>
      <c r="C91">
        <v>9</v>
      </c>
      <c r="D91">
        <v>3.96</v>
      </c>
      <c r="E91">
        <v>8</v>
      </c>
      <c r="F91">
        <v>14</v>
      </c>
      <c r="G91">
        <f t="shared" si="2"/>
        <v>112</v>
      </c>
      <c r="H91">
        <f>VLOOKUP(A91,fruit_size!$A$2:$E$5,4,FALSE)</f>
        <v>0.31</v>
      </c>
      <c r="I91">
        <f>VLOOKUP(A91,fruit_size!$A$2:$E$5,5,FALSE)</f>
        <v>0.31</v>
      </c>
      <c r="J91" s="4">
        <f t="shared" si="3"/>
        <v>0</v>
      </c>
    </row>
    <row r="92" spans="1:10" x14ac:dyDescent="0.2">
      <c r="A92">
        <v>2</v>
      </c>
      <c r="B92">
        <v>1</v>
      </c>
      <c r="C92">
        <v>10</v>
      </c>
      <c r="D92">
        <v>4.28</v>
      </c>
      <c r="E92">
        <v>8</v>
      </c>
      <c r="F92">
        <v>14</v>
      </c>
      <c r="G92">
        <f t="shared" si="2"/>
        <v>112</v>
      </c>
      <c r="H92">
        <f>VLOOKUP(A92,fruit_size!$A$2:$E$5,4,FALSE)</f>
        <v>0.31</v>
      </c>
      <c r="I92">
        <f>VLOOKUP(A92,fruit_size!$A$2:$E$5,5,FALSE)</f>
        <v>0.31</v>
      </c>
      <c r="J92" s="4">
        <f t="shared" si="3"/>
        <v>0</v>
      </c>
    </row>
    <row r="93" spans="1:10" x14ac:dyDescent="0.2">
      <c r="A93">
        <v>2</v>
      </c>
      <c r="B93">
        <v>1</v>
      </c>
      <c r="C93">
        <v>11</v>
      </c>
      <c r="D93">
        <v>3.83</v>
      </c>
      <c r="E93">
        <v>8</v>
      </c>
      <c r="F93">
        <v>14</v>
      </c>
      <c r="G93">
        <f t="shared" si="2"/>
        <v>112</v>
      </c>
      <c r="H93">
        <f>VLOOKUP(A93,fruit_size!$A$2:$E$5,4,FALSE)</f>
        <v>0.31</v>
      </c>
      <c r="I93">
        <f>VLOOKUP(A93,fruit_size!$A$2:$E$5,5,FALSE)</f>
        <v>0.31</v>
      </c>
      <c r="J93" s="4">
        <f t="shared" si="3"/>
        <v>0</v>
      </c>
    </row>
    <row r="94" spans="1:10" x14ac:dyDescent="0.2">
      <c r="A94">
        <v>2</v>
      </c>
      <c r="B94">
        <v>1</v>
      </c>
      <c r="C94">
        <v>12</v>
      </c>
      <c r="D94">
        <v>3.9</v>
      </c>
      <c r="E94">
        <v>8</v>
      </c>
      <c r="F94">
        <v>14</v>
      </c>
      <c r="G94">
        <f t="shared" si="2"/>
        <v>112</v>
      </c>
      <c r="H94">
        <f>VLOOKUP(A94,fruit_size!$A$2:$E$5,4,FALSE)</f>
        <v>0.31</v>
      </c>
      <c r="I94">
        <f>VLOOKUP(A94,fruit_size!$A$2:$E$5,5,FALSE)</f>
        <v>0.31</v>
      </c>
      <c r="J94" s="4">
        <f t="shared" si="3"/>
        <v>0</v>
      </c>
    </row>
    <row r="95" spans="1:10" x14ac:dyDescent="0.2">
      <c r="A95">
        <v>2</v>
      </c>
      <c r="B95">
        <v>1</v>
      </c>
      <c r="C95">
        <v>13</v>
      </c>
      <c r="D95">
        <v>3.61</v>
      </c>
      <c r="E95">
        <v>8</v>
      </c>
      <c r="F95">
        <v>14</v>
      </c>
      <c r="G95">
        <f t="shared" si="2"/>
        <v>112</v>
      </c>
      <c r="H95">
        <f>VLOOKUP(A95,fruit_size!$A$2:$E$5,4,FALSE)</f>
        <v>0.31</v>
      </c>
      <c r="I95">
        <f>VLOOKUP(A95,fruit_size!$A$2:$E$5,5,FALSE)</f>
        <v>0.31</v>
      </c>
      <c r="J95" s="4">
        <f t="shared" si="3"/>
        <v>0</v>
      </c>
    </row>
    <row r="96" spans="1:10" x14ac:dyDescent="0.2">
      <c r="A96">
        <v>2</v>
      </c>
      <c r="B96">
        <v>1</v>
      </c>
      <c r="C96">
        <v>14</v>
      </c>
      <c r="D96">
        <v>3.75</v>
      </c>
      <c r="E96">
        <v>8</v>
      </c>
      <c r="F96">
        <v>14</v>
      </c>
      <c r="G96">
        <f t="shared" si="2"/>
        <v>112</v>
      </c>
      <c r="H96">
        <f>VLOOKUP(A96,fruit_size!$A$2:$E$5,4,FALSE)</f>
        <v>0.31</v>
      </c>
      <c r="I96">
        <f>VLOOKUP(A96,fruit_size!$A$2:$E$5,5,FALSE)</f>
        <v>0.31</v>
      </c>
      <c r="J96" s="4">
        <f t="shared" si="3"/>
        <v>0</v>
      </c>
    </row>
    <row r="97" spans="1:10" x14ac:dyDescent="0.2">
      <c r="A97">
        <v>2</v>
      </c>
      <c r="B97">
        <v>1</v>
      </c>
      <c r="C97">
        <v>15</v>
      </c>
      <c r="D97">
        <v>4.09</v>
      </c>
      <c r="E97">
        <v>8</v>
      </c>
      <c r="F97">
        <v>14</v>
      </c>
      <c r="G97">
        <f t="shared" si="2"/>
        <v>112</v>
      </c>
      <c r="H97">
        <f>VLOOKUP(A97,fruit_size!$A$2:$E$5,4,FALSE)</f>
        <v>0.31</v>
      </c>
      <c r="I97">
        <f>VLOOKUP(A97,fruit_size!$A$2:$E$5,5,FALSE)</f>
        <v>0.31</v>
      </c>
      <c r="J97" s="4">
        <f t="shared" si="3"/>
        <v>0</v>
      </c>
    </row>
    <row r="98" spans="1:10" x14ac:dyDescent="0.2">
      <c r="A98">
        <v>2</v>
      </c>
      <c r="B98">
        <v>1</v>
      </c>
      <c r="C98">
        <v>16</v>
      </c>
      <c r="D98">
        <v>4.5</v>
      </c>
      <c r="E98">
        <v>8</v>
      </c>
      <c r="F98">
        <v>14</v>
      </c>
      <c r="G98">
        <f t="shared" si="2"/>
        <v>112</v>
      </c>
      <c r="H98">
        <f>VLOOKUP(A98,fruit_size!$A$2:$E$5,4,FALSE)</f>
        <v>0.31</v>
      </c>
      <c r="I98">
        <f>VLOOKUP(A98,fruit_size!$A$2:$E$5,5,FALSE)</f>
        <v>0.31</v>
      </c>
      <c r="J98" s="4">
        <f t="shared" si="3"/>
        <v>0</v>
      </c>
    </row>
    <row r="99" spans="1:10" x14ac:dyDescent="0.2">
      <c r="A99">
        <v>2</v>
      </c>
      <c r="B99">
        <v>1</v>
      </c>
      <c r="C99">
        <v>17</v>
      </c>
      <c r="D99">
        <v>4.57</v>
      </c>
      <c r="E99">
        <v>8</v>
      </c>
      <c r="F99">
        <v>14</v>
      </c>
      <c r="G99">
        <f t="shared" si="2"/>
        <v>112</v>
      </c>
      <c r="H99">
        <f>VLOOKUP(A99,fruit_size!$A$2:$E$5,4,FALSE)</f>
        <v>0.31</v>
      </c>
      <c r="I99">
        <f>VLOOKUP(A99,fruit_size!$A$2:$E$5,5,FALSE)</f>
        <v>0.31</v>
      </c>
      <c r="J99" s="4">
        <f t="shared" si="3"/>
        <v>0</v>
      </c>
    </row>
    <row r="100" spans="1:10" x14ac:dyDescent="0.2">
      <c r="A100">
        <v>2</v>
      </c>
      <c r="B100">
        <v>1</v>
      </c>
      <c r="C100">
        <v>18</v>
      </c>
      <c r="D100">
        <v>3.71</v>
      </c>
      <c r="E100">
        <v>8</v>
      </c>
      <c r="F100">
        <v>14</v>
      </c>
      <c r="G100">
        <f t="shared" si="2"/>
        <v>112</v>
      </c>
      <c r="H100">
        <f>VLOOKUP(A100,fruit_size!$A$2:$E$5,4,FALSE)</f>
        <v>0.31</v>
      </c>
      <c r="I100">
        <f>VLOOKUP(A100,fruit_size!$A$2:$E$5,5,FALSE)</f>
        <v>0.31</v>
      </c>
      <c r="J100" s="4">
        <f t="shared" si="3"/>
        <v>0</v>
      </c>
    </row>
    <row r="101" spans="1:10" x14ac:dyDescent="0.2">
      <c r="A101">
        <v>2</v>
      </c>
      <c r="B101">
        <v>1</v>
      </c>
      <c r="C101">
        <v>19</v>
      </c>
      <c r="D101">
        <v>3.87</v>
      </c>
      <c r="E101">
        <v>8</v>
      </c>
      <c r="F101">
        <v>14</v>
      </c>
      <c r="G101">
        <f t="shared" si="2"/>
        <v>112</v>
      </c>
      <c r="H101">
        <f>VLOOKUP(A101,fruit_size!$A$2:$E$5,4,FALSE)</f>
        <v>0.31</v>
      </c>
      <c r="I101">
        <f>VLOOKUP(A101,fruit_size!$A$2:$E$5,5,FALSE)</f>
        <v>0.31</v>
      </c>
      <c r="J101" s="4">
        <f t="shared" si="3"/>
        <v>0</v>
      </c>
    </row>
    <row r="102" spans="1:10" x14ac:dyDescent="0.2">
      <c r="A102">
        <v>2</v>
      </c>
      <c r="B102">
        <v>1</v>
      </c>
      <c r="C102">
        <v>20</v>
      </c>
      <c r="D102">
        <v>3.54</v>
      </c>
      <c r="E102">
        <v>8</v>
      </c>
      <c r="F102">
        <v>14</v>
      </c>
      <c r="G102">
        <f t="shared" si="2"/>
        <v>112</v>
      </c>
      <c r="H102">
        <f>VLOOKUP(A102,fruit_size!$A$2:$E$5,4,FALSE)</f>
        <v>0.31</v>
      </c>
      <c r="I102">
        <f>VLOOKUP(A102,fruit_size!$A$2:$E$5,5,FALSE)</f>
        <v>0.31</v>
      </c>
      <c r="J102" s="4">
        <f t="shared" si="3"/>
        <v>0</v>
      </c>
    </row>
    <row r="103" spans="1:10" x14ac:dyDescent="0.2">
      <c r="A103">
        <v>2</v>
      </c>
      <c r="B103">
        <v>2</v>
      </c>
      <c r="C103">
        <v>1</v>
      </c>
      <c r="D103">
        <v>3.8</v>
      </c>
      <c r="E103">
        <v>8</v>
      </c>
      <c r="F103">
        <v>14</v>
      </c>
      <c r="G103">
        <f t="shared" si="2"/>
        <v>112</v>
      </c>
      <c r="H103">
        <f>VLOOKUP(A103,fruit_size!$A$2:$E$5,4,FALSE)</f>
        <v>0.31</v>
      </c>
      <c r="I103">
        <f>VLOOKUP(A103,fruit_size!$A$2:$E$5,5,FALSE)</f>
        <v>0.31</v>
      </c>
      <c r="J103" s="4">
        <f t="shared" si="3"/>
        <v>0</v>
      </c>
    </row>
    <row r="104" spans="1:10" x14ac:dyDescent="0.2">
      <c r="A104">
        <v>2</v>
      </c>
      <c r="B104">
        <v>2</v>
      </c>
      <c r="C104">
        <v>2</v>
      </c>
      <c r="D104">
        <v>3.79</v>
      </c>
      <c r="E104">
        <v>8</v>
      </c>
      <c r="F104">
        <v>14</v>
      </c>
      <c r="G104">
        <f t="shared" si="2"/>
        <v>112</v>
      </c>
      <c r="H104">
        <f>VLOOKUP(A104,fruit_size!$A$2:$E$5,4,FALSE)</f>
        <v>0.31</v>
      </c>
      <c r="I104">
        <f>VLOOKUP(A104,fruit_size!$A$2:$E$5,5,FALSE)</f>
        <v>0.31</v>
      </c>
      <c r="J104" s="4">
        <f t="shared" si="3"/>
        <v>0</v>
      </c>
    </row>
    <row r="105" spans="1:10" x14ac:dyDescent="0.2">
      <c r="A105">
        <v>2</v>
      </c>
      <c r="B105">
        <v>2</v>
      </c>
      <c r="C105">
        <v>3</v>
      </c>
      <c r="D105">
        <v>3.88</v>
      </c>
      <c r="E105">
        <v>8</v>
      </c>
      <c r="F105">
        <v>14</v>
      </c>
      <c r="G105">
        <f t="shared" si="2"/>
        <v>112</v>
      </c>
      <c r="H105">
        <f>VLOOKUP(A105,fruit_size!$A$2:$E$5,4,FALSE)</f>
        <v>0.31</v>
      </c>
      <c r="I105">
        <f>VLOOKUP(A105,fruit_size!$A$2:$E$5,5,FALSE)</f>
        <v>0.31</v>
      </c>
      <c r="J105" s="4">
        <f t="shared" si="3"/>
        <v>0</v>
      </c>
    </row>
    <row r="106" spans="1:10" x14ac:dyDescent="0.2">
      <c r="A106">
        <v>2</v>
      </c>
      <c r="B106">
        <v>2</v>
      </c>
      <c r="C106">
        <v>4</v>
      </c>
      <c r="D106">
        <v>3.86</v>
      </c>
      <c r="E106">
        <v>8</v>
      </c>
      <c r="F106">
        <v>14</v>
      </c>
      <c r="G106">
        <f t="shared" si="2"/>
        <v>112</v>
      </c>
      <c r="H106">
        <f>VLOOKUP(A106,fruit_size!$A$2:$E$5,4,FALSE)</f>
        <v>0.31</v>
      </c>
      <c r="I106">
        <f>VLOOKUP(A106,fruit_size!$A$2:$E$5,5,FALSE)</f>
        <v>0.31</v>
      </c>
      <c r="J106" s="4">
        <f t="shared" si="3"/>
        <v>0</v>
      </c>
    </row>
    <row r="107" spans="1:10" x14ac:dyDescent="0.2">
      <c r="A107">
        <v>2</v>
      </c>
      <c r="B107">
        <v>2</v>
      </c>
      <c r="C107">
        <v>5</v>
      </c>
      <c r="D107">
        <v>4.07</v>
      </c>
      <c r="E107">
        <v>8</v>
      </c>
      <c r="F107">
        <v>14</v>
      </c>
      <c r="G107">
        <f t="shared" si="2"/>
        <v>112</v>
      </c>
      <c r="H107">
        <f>VLOOKUP(A107,fruit_size!$A$2:$E$5,4,FALSE)</f>
        <v>0.31</v>
      </c>
      <c r="I107">
        <f>VLOOKUP(A107,fruit_size!$A$2:$E$5,5,FALSE)</f>
        <v>0.31</v>
      </c>
      <c r="J107" s="4">
        <f t="shared" si="3"/>
        <v>0</v>
      </c>
    </row>
    <row r="108" spans="1:10" x14ac:dyDescent="0.2">
      <c r="A108">
        <v>2</v>
      </c>
      <c r="B108">
        <v>2</v>
      </c>
      <c r="C108">
        <v>6</v>
      </c>
      <c r="D108">
        <v>3.02</v>
      </c>
      <c r="E108">
        <v>8</v>
      </c>
      <c r="F108">
        <v>14</v>
      </c>
      <c r="G108">
        <f t="shared" si="2"/>
        <v>112</v>
      </c>
      <c r="H108">
        <f>VLOOKUP(A108,fruit_size!$A$2:$E$5,4,FALSE)</f>
        <v>0.31</v>
      </c>
      <c r="I108">
        <f>VLOOKUP(A108,fruit_size!$A$2:$E$5,5,FALSE)</f>
        <v>0.31</v>
      </c>
      <c r="J108" s="4">
        <f t="shared" si="3"/>
        <v>0</v>
      </c>
    </row>
    <row r="109" spans="1:10" x14ac:dyDescent="0.2">
      <c r="A109">
        <v>2</v>
      </c>
      <c r="B109">
        <v>2</v>
      </c>
      <c r="C109">
        <v>7</v>
      </c>
      <c r="D109">
        <v>4.25</v>
      </c>
      <c r="E109">
        <v>8</v>
      </c>
      <c r="F109">
        <v>14</v>
      </c>
      <c r="G109">
        <f t="shared" si="2"/>
        <v>112</v>
      </c>
      <c r="H109">
        <f>VLOOKUP(A109,fruit_size!$A$2:$E$5,4,FALSE)</f>
        <v>0.31</v>
      </c>
      <c r="I109">
        <f>VLOOKUP(A109,fruit_size!$A$2:$E$5,5,FALSE)</f>
        <v>0.31</v>
      </c>
      <c r="J109" s="4">
        <f t="shared" si="3"/>
        <v>0</v>
      </c>
    </row>
    <row r="110" spans="1:10" x14ac:dyDescent="0.2">
      <c r="A110">
        <v>2</v>
      </c>
      <c r="B110">
        <v>2</v>
      </c>
      <c r="C110">
        <v>8</v>
      </c>
      <c r="D110">
        <v>4.25</v>
      </c>
      <c r="E110">
        <v>8</v>
      </c>
      <c r="F110">
        <v>14</v>
      </c>
      <c r="G110">
        <f t="shared" si="2"/>
        <v>112</v>
      </c>
      <c r="H110">
        <f>VLOOKUP(A110,fruit_size!$A$2:$E$5,4,FALSE)</f>
        <v>0.31</v>
      </c>
      <c r="I110">
        <f>VLOOKUP(A110,fruit_size!$A$2:$E$5,5,FALSE)</f>
        <v>0.31</v>
      </c>
      <c r="J110" s="4">
        <f t="shared" si="3"/>
        <v>0</v>
      </c>
    </row>
    <row r="111" spans="1:10" x14ac:dyDescent="0.2">
      <c r="A111">
        <v>2</v>
      </c>
      <c r="B111">
        <v>2</v>
      </c>
      <c r="C111">
        <v>9</v>
      </c>
      <c r="D111">
        <v>4.12</v>
      </c>
      <c r="E111">
        <v>8</v>
      </c>
      <c r="F111">
        <v>14</v>
      </c>
      <c r="G111">
        <f t="shared" si="2"/>
        <v>112</v>
      </c>
      <c r="H111">
        <f>VLOOKUP(A111,fruit_size!$A$2:$E$5,4,FALSE)</f>
        <v>0.31</v>
      </c>
      <c r="I111">
        <f>VLOOKUP(A111,fruit_size!$A$2:$E$5,5,FALSE)</f>
        <v>0.31</v>
      </c>
      <c r="J111" s="4">
        <f t="shared" si="3"/>
        <v>0</v>
      </c>
    </row>
    <row r="112" spans="1:10" x14ac:dyDescent="0.2">
      <c r="A112">
        <v>2</v>
      </c>
      <c r="B112">
        <v>2</v>
      </c>
      <c r="C112">
        <v>10</v>
      </c>
      <c r="D112">
        <v>3.8</v>
      </c>
      <c r="E112">
        <v>8</v>
      </c>
      <c r="F112">
        <v>14</v>
      </c>
      <c r="G112">
        <f t="shared" si="2"/>
        <v>112</v>
      </c>
      <c r="H112">
        <f>VLOOKUP(A112,fruit_size!$A$2:$E$5,4,FALSE)</f>
        <v>0.31</v>
      </c>
      <c r="I112">
        <f>VLOOKUP(A112,fruit_size!$A$2:$E$5,5,FALSE)</f>
        <v>0.31</v>
      </c>
      <c r="J112" s="4">
        <f t="shared" si="3"/>
        <v>0</v>
      </c>
    </row>
    <row r="113" spans="1:10" x14ac:dyDescent="0.2">
      <c r="A113">
        <v>2</v>
      </c>
      <c r="B113">
        <v>2</v>
      </c>
      <c r="C113">
        <v>11</v>
      </c>
      <c r="D113">
        <v>4.95</v>
      </c>
      <c r="E113">
        <v>8</v>
      </c>
      <c r="F113">
        <v>14</v>
      </c>
      <c r="G113">
        <f t="shared" si="2"/>
        <v>112</v>
      </c>
      <c r="H113">
        <f>VLOOKUP(A113,fruit_size!$A$2:$E$5,4,FALSE)</f>
        <v>0.31</v>
      </c>
      <c r="I113">
        <f>VLOOKUP(A113,fruit_size!$A$2:$E$5,5,FALSE)</f>
        <v>0.31</v>
      </c>
      <c r="J113" s="4">
        <f t="shared" si="3"/>
        <v>0</v>
      </c>
    </row>
    <row r="114" spans="1:10" x14ac:dyDescent="0.2">
      <c r="A114">
        <v>2</v>
      </c>
      <c r="B114">
        <v>2</v>
      </c>
      <c r="C114">
        <v>12</v>
      </c>
      <c r="D114">
        <v>4.7699999999999996</v>
      </c>
      <c r="E114">
        <v>8</v>
      </c>
      <c r="F114">
        <v>14</v>
      </c>
      <c r="G114">
        <f t="shared" si="2"/>
        <v>112</v>
      </c>
      <c r="H114">
        <f>VLOOKUP(A114,fruit_size!$A$2:$E$5,4,FALSE)</f>
        <v>0.31</v>
      </c>
      <c r="I114">
        <f>VLOOKUP(A114,fruit_size!$A$2:$E$5,5,FALSE)</f>
        <v>0.31</v>
      </c>
      <c r="J114" s="4">
        <f t="shared" si="3"/>
        <v>0</v>
      </c>
    </row>
    <row r="115" spans="1:10" x14ac:dyDescent="0.2">
      <c r="A115">
        <v>2</v>
      </c>
      <c r="B115">
        <v>2</v>
      </c>
      <c r="C115">
        <v>13</v>
      </c>
      <c r="D115">
        <v>5.08</v>
      </c>
      <c r="E115">
        <v>8</v>
      </c>
      <c r="F115">
        <v>14</v>
      </c>
      <c r="G115">
        <f t="shared" si="2"/>
        <v>112</v>
      </c>
      <c r="H115">
        <f>VLOOKUP(A115,fruit_size!$A$2:$E$5,4,FALSE)</f>
        <v>0.31</v>
      </c>
      <c r="I115">
        <f>VLOOKUP(A115,fruit_size!$A$2:$E$5,5,FALSE)</f>
        <v>0.31</v>
      </c>
      <c r="J115" s="4">
        <f t="shared" si="3"/>
        <v>0</v>
      </c>
    </row>
    <row r="116" spans="1:10" x14ac:dyDescent="0.2">
      <c r="A116">
        <v>2</v>
      </c>
      <c r="B116">
        <v>2</v>
      </c>
      <c r="C116">
        <v>14</v>
      </c>
      <c r="D116">
        <v>5.41</v>
      </c>
      <c r="E116">
        <v>8</v>
      </c>
      <c r="F116">
        <v>14</v>
      </c>
      <c r="G116">
        <f t="shared" si="2"/>
        <v>112</v>
      </c>
      <c r="H116">
        <f>VLOOKUP(A116,fruit_size!$A$2:$E$5,4,FALSE)</f>
        <v>0.31</v>
      </c>
      <c r="I116">
        <f>VLOOKUP(A116,fruit_size!$A$2:$E$5,5,FALSE)</f>
        <v>0.31</v>
      </c>
      <c r="J116" s="4">
        <f t="shared" si="3"/>
        <v>0</v>
      </c>
    </row>
    <row r="117" spans="1:10" x14ac:dyDescent="0.2">
      <c r="A117">
        <v>2</v>
      </c>
      <c r="B117">
        <v>2</v>
      </c>
      <c r="C117">
        <v>15</v>
      </c>
      <c r="D117">
        <v>5.53</v>
      </c>
      <c r="E117">
        <v>8</v>
      </c>
      <c r="F117">
        <v>14</v>
      </c>
      <c r="G117">
        <f t="shared" si="2"/>
        <v>112</v>
      </c>
      <c r="H117">
        <f>VLOOKUP(A117,fruit_size!$A$2:$E$5,4,FALSE)</f>
        <v>0.31</v>
      </c>
      <c r="I117">
        <f>VLOOKUP(A117,fruit_size!$A$2:$E$5,5,FALSE)</f>
        <v>0.31</v>
      </c>
      <c r="J117" s="4">
        <f t="shared" si="3"/>
        <v>0</v>
      </c>
    </row>
    <row r="118" spans="1:10" x14ac:dyDescent="0.2">
      <c r="A118">
        <v>2</v>
      </c>
      <c r="B118">
        <v>2</v>
      </c>
      <c r="C118">
        <v>16</v>
      </c>
      <c r="D118">
        <v>5.21</v>
      </c>
      <c r="E118">
        <v>8</v>
      </c>
      <c r="F118">
        <v>14</v>
      </c>
      <c r="G118">
        <f t="shared" si="2"/>
        <v>112</v>
      </c>
      <c r="H118">
        <f>VLOOKUP(A118,fruit_size!$A$2:$E$5,4,FALSE)</f>
        <v>0.31</v>
      </c>
      <c r="I118">
        <f>VLOOKUP(A118,fruit_size!$A$2:$E$5,5,FALSE)</f>
        <v>0.31</v>
      </c>
      <c r="J118" s="4">
        <f t="shared" si="3"/>
        <v>0</v>
      </c>
    </row>
    <row r="119" spans="1:10" x14ac:dyDescent="0.2">
      <c r="A119">
        <v>2</v>
      </c>
      <c r="B119">
        <v>2</v>
      </c>
      <c r="C119">
        <v>17</v>
      </c>
      <c r="D119">
        <v>5.08</v>
      </c>
      <c r="E119">
        <v>8</v>
      </c>
      <c r="F119">
        <v>14</v>
      </c>
      <c r="G119">
        <f t="shared" si="2"/>
        <v>112</v>
      </c>
      <c r="H119">
        <f>VLOOKUP(A119,fruit_size!$A$2:$E$5,4,FALSE)</f>
        <v>0.31</v>
      </c>
      <c r="I119">
        <f>VLOOKUP(A119,fruit_size!$A$2:$E$5,5,FALSE)</f>
        <v>0.31</v>
      </c>
      <c r="J119" s="4">
        <f t="shared" si="3"/>
        <v>0</v>
      </c>
    </row>
    <row r="120" spans="1:10" x14ac:dyDescent="0.2">
      <c r="A120">
        <v>2</v>
      </c>
      <c r="B120">
        <v>2</v>
      </c>
      <c r="C120">
        <v>18</v>
      </c>
      <c r="D120">
        <v>5.34</v>
      </c>
      <c r="E120">
        <v>8</v>
      </c>
      <c r="F120">
        <v>14</v>
      </c>
      <c r="G120">
        <f t="shared" si="2"/>
        <v>112</v>
      </c>
      <c r="H120">
        <f>VLOOKUP(A120,fruit_size!$A$2:$E$5,4,FALSE)</f>
        <v>0.31</v>
      </c>
      <c r="I120">
        <f>VLOOKUP(A120,fruit_size!$A$2:$E$5,5,FALSE)</f>
        <v>0.31</v>
      </c>
      <c r="J120" s="4">
        <f t="shared" si="3"/>
        <v>0</v>
      </c>
    </row>
    <row r="121" spans="1:10" x14ac:dyDescent="0.2">
      <c r="A121">
        <v>2</v>
      </c>
      <c r="B121">
        <v>2</v>
      </c>
      <c r="C121">
        <v>19</v>
      </c>
      <c r="D121">
        <v>4.58</v>
      </c>
      <c r="E121">
        <v>8</v>
      </c>
      <c r="F121">
        <v>14</v>
      </c>
      <c r="G121">
        <f t="shared" si="2"/>
        <v>112</v>
      </c>
      <c r="H121">
        <f>VLOOKUP(A121,fruit_size!$A$2:$E$5,4,FALSE)</f>
        <v>0.31</v>
      </c>
      <c r="I121">
        <f>VLOOKUP(A121,fruit_size!$A$2:$E$5,5,FALSE)</f>
        <v>0.31</v>
      </c>
      <c r="J121" s="4">
        <f t="shared" si="3"/>
        <v>0</v>
      </c>
    </row>
    <row r="122" spans="1:10" x14ac:dyDescent="0.2">
      <c r="A122">
        <v>2</v>
      </c>
      <c r="B122">
        <v>2</v>
      </c>
      <c r="C122">
        <v>20</v>
      </c>
      <c r="D122">
        <v>4.7699999999999996</v>
      </c>
      <c r="E122">
        <v>8</v>
      </c>
      <c r="F122">
        <v>14</v>
      </c>
      <c r="G122">
        <f t="shared" si="2"/>
        <v>112</v>
      </c>
      <c r="H122">
        <f>VLOOKUP(A122,fruit_size!$A$2:$E$5,4,FALSE)</f>
        <v>0.31</v>
      </c>
      <c r="I122">
        <f>VLOOKUP(A122,fruit_size!$A$2:$E$5,5,FALSE)</f>
        <v>0.31</v>
      </c>
      <c r="J122" s="4">
        <f t="shared" si="3"/>
        <v>0</v>
      </c>
    </row>
    <row r="123" spans="1:10" x14ac:dyDescent="0.2">
      <c r="A123">
        <v>2</v>
      </c>
      <c r="B123">
        <v>3</v>
      </c>
      <c r="C123">
        <v>1</v>
      </c>
      <c r="D123">
        <v>3.66</v>
      </c>
      <c r="E123">
        <v>8</v>
      </c>
      <c r="F123">
        <v>14</v>
      </c>
      <c r="G123">
        <f t="shared" si="2"/>
        <v>112</v>
      </c>
      <c r="H123">
        <f>VLOOKUP(A123,fruit_size!$A$2:$E$5,4,FALSE)</f>
        <v>0.31</v>
      </c>
      <c r="I123">
        <f>VLOOKUP(A123,fruit_size!$A$2:$E$5,5,FALSE)</f>
        <v>0.31</v>
      </c>
      <c r="J123" s="4">
        <f t="shared" si="3"/>
        <v>0</v>
      </c>
    </row>
    <row r="124" spans="1:10" x14ac:dyDescent="0.2">
      <c r="A124">
        <v>2</v>
      </c>
      <c r="B124">
        <v>3</v>
      </c>
      <c r="C124">
        <v>2</v>
      </c>
      <c r="D124">
        <v>3.57</v>
      </c>
      <c r="E124">
        <v>8</v>
      </c>
      <c r="F124">
        <v>14</v>
      </c>
      <c r="G124">
        <f t="shared" si="2"/>
        <v>112</v>
      </c>
      <c r="H124">
        <f>VLOOKUP(A124,fruit_size!$A$2:$E$5,4,FALSE)</f>
        <v>0.31</v>
      </c>
      <c r="I124">
        <f>VLOOKUP(A124,fruit_size!$A$2:$E$5,5,FALSE)</f>
        <v>0.31</v>
      </c>
      <c r="J124" s="4">
        <f t="shared" si="3"/>
        <v>0</v>
      </c>
    </row>
    <row r="125" spans="1:10" x14ac:dyDescent="0.2">
      <c r="A125">
        <v>2</v>
      </c>
      <c r="B125">
        <v>3</v>
      </c>
      <c r="C125">
        <v>3</v>
      </c>
      <c r="D125">
        <v>3.54</v>
      </c>
      <c r="E125">
        <v>8</v>
      </c>
      <c r="F125">
        <v>14</v>
      </c>
      <c r="G125">
        <f t="shared" si="2"/>
        <v>112</v>
      </c>
      <c r="H125">
        <f>VLOOKUP(A125,fruit_size!$A$2:$E$5,4,FALSE)</f>
        <v>0.31</v>
      </c>
      <c r="I125">
        <f>VLOOKUP(A125,fruit_size!$A$2:$E$5,5,FALSE)</f>
        <v>0.31</v>
      </c>
      <c r="J125" s="4">
        <f t="shared" si="3"/>
        <v>0</v>
      </c>
    </row>
    <row r="126" spans="1:10" x14ac:dyDescent="0.2">
      <c r="A126">
        <v>2</v>
      </c>
      <c r="B126">
        <v>3</v>
      </c>
      <c r="C126">
        <v>4</v>
      </c>
      <c r="D126">
        <v>3.37</v>
      </c>
      <c r="E126">
        <v>8</v>
      </c>
      <c r="F126">
        <v>14</v>
      </c>
      <c r="G126">
        <f t="shared" si="2"/>
        <v>112</v>
      </c>
      <c r="H126">
        <f>VLOOKUP(A126,fruit_size!$A$2:$E$5,4,FALSE)</f>
        <v>0.31</v>
      </c>
      <c r="I126">
        <f>VLOOKUP(A126,fruit_size!$A$2:$E$5,5,FALSE)</f>
        <v>0.31</v>
      </c>
      <c r="J126" s="4">
        <f t="shared" si="3"/>
        <v>0</v>
      </c>
    </row>
    <row r="127" spans="1:10" x14ac:dyDescent="0.2">
      <c r="A127">
        <v>2</v>
      </c>
      <c r="B127">
        <v>3</v>
      </c>
      <c r="C127">
        <v>5</v>
      </c>
      <c r="D127">
        <v>3.83</v>
      </c>
      <c r="E127">
        <v>8</v>
      </c>
      <c r="F127">
        <v>14</v>
      </c>
      <c r="G127">
        <f t="shared" si="2"/>
        <v>112</v>
      </c>
      <c r="H127">
        <f>VLOOKUP(A127,fruit_size!$A$2:$E$5,4,FALSE)</f>
        <v>0.31</v>
      </c>
      <c r="I127">
        <f>VLOOKUP(A127,fruit_size!$A$2:$E$5,5,FALSE)</f>
        <v>0.31</v>
      </c>
      <c r="J127" s="4">
        <f t="shared" si="3"/>
        <v>0</v>
      </c>
    </row>
    <row r="128" spans="1:10" x14ac:dyDescent="0.2">
      <c r="A128">
        <v>2</v>
      </c>
      <c r="B128">
        <v>3</v>
      </c>
      <c r="C128">
        <v>6</v>
      </c>
      <c r="D128">
        <v>4.72</v>
      </c>
      <c r="E128">
        <v>8</v>
      </c>
      <c r="F128">
        <v>14</v>
      </c>
      <c r="G128">
        <f t="shared" si="2"/>
        <v>112</v>
      </c>
      <c r="H128">
        <f>VLOOKUP(A128,fruit_size!$A$2:$E$5,4,FALSE)</f>
        <v>0.31</v>
      </c>
      <c r="I128">
        <f>VLOOKUP(A128,fruit_size!$A$2:$E$5,5,FALSE)</f>
        <v>0.31</v>
      </c>
      <c r="J128" s="4">
        <f t="shared" si="3"/>
        <v>0</v>
      </c>
    </row>
    <row r="129" spans="1:10" x14ac:dyDescent="0.2">
      <c r="A129">
        <v>2</v>
      </c>
      <c r="B129">
        <v>3</v>
      </c>
      <c r="C129">
        <v>7</v>
      </c>
      <c r="D129">
        <v>3.89</v>
      </c>
      <c r="E129">
        <v>8</v>
      </c>
      <c r="F129">
        <v>14</v>
      </c>
      <c r="G129">
        <f t="shared" si="2"/>
        <v>112</v>
      </c>
      <c r="H129">
        <f>VLOOKUP(A129,fruit_size!$A$2:$E$5,4,FALSE)</f>
        <v>0.31</v>
      </c>
      <c r="I129">
        <f>VLOOKUP(A129,fruit_size!$A$2:$E$5,5,FALSE)</f>
        <v>0.31</v>
      </c>
      <c r="J129" s="4">
        <f t="shared" si="3"/>
        <v>0</v>
      </c>
    </row>
    <row r="130" spans="1:10" x14ac:dyDescent="0.2">
      <c r="A130">
        <v>2</v>
      </c>
      <c r="B130">
        <v>3</v>
      </c>
      <c r="C130">
        <v>8</v>
      </c>
      <c r="D130">
        <v>4.57</v>
      </c>
      <c r="E130">
        <v>8</v>
      </c>
      <c r="F130">
        <v>14</v>
      </c>
      <c r="G130">
        <f t="shared" si="2"/>
        <v>112</v>
      </c>
      <c r="H130">
        <f>VLOOKUP(A130,fruit_size!$A$2:$E$5,4,FALSE)</f>
        <v>0.31</v>
      </c>
      <c r="I130">
        <f>VLOOKUP(A130,fruit_size!$A$2:$E$5,5,FALSE)</f>
        <v>0.31</v>
      </c>
      <c r="J130" s="4">
        <f t="shared" si="3"/>
        <v>0</v>
      </c>
    </row>
    <row r="131" spans="1:10" x14ac:dyDescent="0.2">
      <c r="A131">
        <v>2</v>
      </c>
      <c r="B131">
        <v>3</v>
      </c>
      <c r="C131">
        <v>9</v>
      </c>
      <c r="D131">
        <v>4.46</v>
      </c>
      <c r="E131">
        <v>8</v>
      </c>
      <c r="F131">
        <v>14</v>
      </c>
      <c r="G131">
        <f t="shared" si="2"/>
        <v>112</v>
      </c>
      <c r="H131">
        <f>VLOOKUP(A131,fruit_size!$A$2:$E$5,4,FALSE)</f>
        <v>0.31</v>
      </c>
      <c r="I131">
        <f>VLOOKUP(A131,fruit_size!$A$2:$E$5,5,FALSE)</f>
        <v>0.31</v>
      </c>
      <c r="J131" s="4">
        <f t="shared" si="3"/>
        <v>0</v>
      </c>
    </row>
    <row r="132" spans="1:10" x14ac:dyDescent="0.2">
      <c r="A132">
        <v>2</v>
      </c>
      <c r="B132">
        <v>3</v>
      </c>
      <c r="C132">
        <v>10</v>
      </c>
      <c r="D132">
        <v>4.1399999999999997</v>
      </c>
      <c r="E132">
        <v>8</v>
      </c>
      <c r="F132">
        <v>14</v>
      </c>
      <c r="G132">
        <f t="shared" ref="G132:G195" si="4">E132*F132</f>
        <v>112</v>
      </c>
      <c r="H132">
        <f>VLOOKUP(A132,fruit_size!$A$2:$E$5,4,FALSE)</f>
        <v>0.31</v>
      </c>
      <c r="I132">
        <f>VLOOKUP(A132,fruit_size!$A$2:$E$5,5,FALSE)</f>
        <v>0.31</v>
      </c>
      <c r="J132" s="4">
        <f t="shared" ref="J132:J195" si="5">(I132-H132)/H132</f>
        <v>0</v>
      </c>
    </row>
    <row r="133" spans="1:10" x14ac:dyDescent="0.2">
      <c r="A133">
        <v>2</v>
      </c>
      <c r="B133">
        <v>3</v>
      </c>
      <c r="C133">
        <v>11</v>
      </c>
      <c r="D133">
        <v>3.19</v>
      </c>
      <c r="E133">
        <v>8</v>
      </c>
      <c r="F133">
        <v>14</v>
      </c>
      <c r="G133">
        <f t="shared" si="4"/>
        <v>112</v>
      </c>
      <c r="H133">
        <f>VLOOKUP(A133,fruit_size!$A$2:$E$5,4,FALSE)</f>
        <v>0.31</v>
      </c>
      <c r="I133">
        <f>VLOOKUP(A133,fruit_size!$A$2:$E$5,5,FALSE)</f>
        <v>0.31</v>
      </c>
      <c r="J133" s="4">
        <f t="shared" si="5"/>
        <v>0</v>
      </c>
    </row>
    <row r="134" spans="1:10" x14ac:dyDescent="0.2">
      <c r="A134">
        <v>2</v>
      </c>
      <c r="B134">
        <v>3</v>
      </c>
      <c r="C134">
        <v>12</v>
      </c>
      <c r="D134">
        <v>3.24</v>
      </c>
      <c r="E134">
        <v>8</v>
      </c>
      <c r="F134">
        <v>14</v>
      </c>
      <c r="G134">
        <f t="shared" si="4"/>
        <v>112</v>
      </c>
      <c r="H134">
        <f>VLOOKUP(A134,fruit_size!$A$2:$E$5,4,FALSE)</f>
        <v>0.31</v>
      </c>
      <c r="I134">
        <f>VLOOKUP(A134,fruit_size!$A$2:$E$5,5,FALSE)</f>
        <v>0.31</v>
      </c>
      <c r="J134" s="4">
        <f t="shared" si="5"/>
        <v>0</v>
      </c>
    </row>
    <row r="135" spans="1:10" x14ac:dyDescent="0.2">
      <c r="A135">
        <v>2</v>
      </c>
      <c r="B135">
        <v>3</v>
      </c>
      <c r="C135">
        <v>13</v>
      </c>
      <c r="D135">
        <v>3.12</v>
      </c>
      <c r="E135">
        <v>8</v>
      </c>
      <c r="F135">
        <v>14</v>
      </c>
      <c r="G135">
        <f t="shared" si="4"/>
        <v>112</v>
      </c>
      <c r="H135">
        <f>VLOOKUP(A135,fruit_size!$A$2:$E$5,4,FALSE)</f>
        <v>0.31</v>
      </c>
      <c r="I135">
        <f>VLOOKUP(A135,fruit_size!$A$2:$E$5,5,FALSE)</f>
        <v>0.31</v>
      </c>
      <c r="J135" s="4">
        <f t="shared" si="5"/>
        <v>0</v>
      </c>
    </row>
    <row r="136" spans="1:10" x14ac:dyDescent="0.2">
      <c r="A136">
        <v>2</v>
      </c>
      <c r="B136">
        <v>3</v>
      </c>
      <c r="C136">
        <v>14</v>
      </c>
      <c r="D136">
        <v>3.31</v>
      </c>
      <c r="E136">
        <v>8</v>
      </c>
      <c r="F136">
        <v>14</v>
      </c>
      <c r="G136">
        <f t="shared" si="4"/>
        <v>112</v>
      </c>
      <c r="H136">
        <f>VLOOKUP(A136,fruit_size!$A$2:$E$5,4,FALSE)</f>
        <v>0.31</v>
      </c>
      <c r="I136">
        <f>VLOOKUP(A136,fruit_size!$A$2:$E$5,5,FALSE)</f>
        <v>0.31</v>
      </c>
      <c r="J136" s="4">
        <f t="shared" si="5"/>
        <v>0</v>
      </c>
    </row>
    <row r="137" spans="1:10" x14ac:dyDescent="0.2">
      <c r="A137">
        <v>2</v>
      </c>
      <c r="B137">
        <v>3</v>
      </c>
      <c r="C137">
        <v>15</v>
      </c>
      <c r="D137">
        <v>3.23</v>
      </c>
      <c r="E137">
        <v>8</v>
      </c>
      <c r="F137">
        <v>14</v>
      </c>
      <c r="G137">
        <f t="shared" si="4"/>
        <v>112</v>
      </c>
      <c r="H137">
        <f>VLOOKUP(A137,fruit_size!$A$2:$E$5,4,FALSE)</f>
        <v>0.31</v>
      </c>
      <c r="I137">
        <f>VLOOKUP(A137,fruit_size!$A$2:$E$5,5,FALSE)</f>
        <v>0.31</v>
      </c>
      <c r="J137" s="4">
        <f t="shared" si="5"/>
        <v>0</v>
      </c>
    </row>
    <row r="138" spans="1:10" x14ac:dyDescent="0.2">
      <c r="A138">
        <v>2</v>
      </c>
      <c r="B138">
        <v>3</v>
      </c>
      <c r="C138">
        <v>16</v>
      </c>
      <c r="D138">
        <v>3.81</v>
      </c>
      <c r="E138">
        <v>8</v>
      </c>
      <c r="F138">
        <v>14</v>
      </c>
      <c r="G138">
        <f t="shared" si="4"/>
        <v>112</v>
      </c>
      <c r="H138">
        <f>VLOOKUP(A138,fruit_size!$A$2:$E$5,4,FALSE)</f>
        <v>0.31</v>
      </c>
      <c r="I138">
        <f>VLOOKUP(A138,fruit_size!$A$2:$E$5,5,FALSE)</f>
        <v>0.31</v>
      </c>
      <c r="J138" s="4">
        <f t="shared" si="5"/>
        <v>0</v>
      </c>
    </row>
    <row r="139" spans="1:10" x14ac:dyDescent="0.2">
      <c r="A139">
        <v>2</v>
      </c>
      <c r="B139">
        <v>3</v>
      </c>
      <c r="C139">
        <v>17</v>
      </c>
      <c r="D139">
        <v>3.64</v>
      </c>
      <c r="E139">
        <v>8</v>
      </c>
      <c r="F139">
        <v>14</v>
      </c>
      <c r="G139">
        <f t="shared" si="4"/>
        <v>112</v>
      </c>
      <c r="H139">
        <f>VLOOKUP(A139,fruit_size!$A$2:$E$5,4,FALSE)</f>
        <v>0.31</v>
      </c>
      <c r="I139">
        <f>VLOOKUP(A139,fruit_size!$A$2:$E$5,5,FALSE)</f>
        <v>0.31</v>
      </c>
      <c r="J139" s="4">
        <f t="shared" si="5"/>
        <v>0</v>
      </c>
    </row>
    <row r="140" spans="1:10" x14ac:dyDescent="0.2">
      <c r="A140">
        <v>2</v>
      </c>
      <c r="B140">
        <v>3</v>
      </c>
      <c r="C140">
        <v>18</v>
      </c>
      <c r="D140">
        <v>3.54</v>
      </c>
      <c r="E140">
        <v>8</v>
      </c>
      <c r="F140">
        <v>14</v>
      </c>
      <c r="G140">
        <f t="shared" si="4"/>
        <v>112</v>
      </c>
      <c r="H140">
        <f>VLOOKUP(A140,fruit_size!$A$2:$E$5,4,FALSE)</f>
        <v>0.31</v>
      </c>
      <c r="I140">
        <f>VLOOKUP(A140,fruit_size!$A$2:$E$5,5,FALSE)</f>
        <v>0.31</v>
      </c>
      <c r="J140" s="4">
        <f t="shared" si="5"/>
        <v>0</v>
      </c>
    </row>
    <row r="141" spans="1:10" x14ac:dyDescent="0.2">
      <c r="A141">
        <v>2</v>
      </c>
      <c r="B141">
        <v>3</v>
      </c>
      <c r="C141">
        <v>19</v>
      </c>
      <c r="D141">
        <v>4.7</v>
      </c>
      <c r="E141">
        <v>8</v>
      </c>
      <c r="F141">
        <v>14</v>
      </c>
      <c r="G141">
        <f t="shared" si="4"/>
        <v>112</v>
      </c>
      <c r="H141">
        <f>VLOOKUP(A141,fruit_size!$A$2:$E$5,4,FALSE)</f>
        <v>0.31</v>
      </c>
      <c r="I141">
        <f>VLOOKUP(A141,fruit_size!$A$2:$E$5,5,FALSE)</f>
        <v>0.31</v>
      </c>
      <c r="J141" s="4">
        <f t="shared" si="5"/>
        <v>0</v>
      </c>
    </row>
    <row r="142" spans="1:10" x14ac:dyDescent="0.2">
      <c r="A142">
        <v>2</v>
      </c>
      <c r="B142">
        <v>3</v>
      </c>
      <c r="C142">
        <v>20</v>
      </c>
      <c r="D142">
        <v>4.58</v>
      </c>
      <c r="E142">
        <v>8</v>
      </c>
      <c r="F142">
        <v>14</v>
      </c>
      <c r="G142">
        <f t="shared" si="4"/>
        <v>112</v>
      </c>
      <c r="H142">
        <f>VLOOKUP(A142,fruit_size!$A$2:$E$5,4,FALSE)</f>
        <v>0.31</v>
      </c>
      <c r="I142">
        <f>VLOOKUP(A142,fruit_size!$A$2:$E$5,5,FALSE)</f>
        <v>0.31</v>
      </c>
      <c r="J142" s="4">
        <f t="shared" si="5"/>
        <v>0</v>
      </c>
    </row>
    <row r="143" spans="1:10" x14ac:dyDescent="0.2">
      <c r="A143">
        <v>2</v>
      </c>
      <c r="B143">
        <v>4</v>
      </c>
      <c r="C143">
        <v>1</v>
      </c>
      <c r="D143">
        <v>4.22</v>
      </c>
      <c r="E143">
        <v>8</v>
      </c>
      <c r="F143">
        <v>14</v>
      </c>
      <c r="G143">
        <f t="shared" si="4"/>
        <v>112</v>
      </c>
      <c r="H143">
        <f>VLOOKUP(A143,fruit_size!$A$2:$E$5,4,FALSE)</f>
        <v>0.31</v>
      </c>
      <c r="I143">
        <f>VLOOKUP(A143,fruit_size!$A$2:$E$5,5,FALSE)</f>
        <v>0.31</v>
      </c>
      <c r="J143" s="4">
        <f t="shared" si="5"/>
        <v>0</v>
      </c>
    </row>
    <row r="144" spans="1:10" x14ac:dyDescent="0.2">
      <c r="A144">
        <v>2</v>
      </c>
      <c r="B144">
        <v>4</v>
      </c>
      <c r="C144">
        <v>2</v>
      </c>
      <c r="D144">
        <v>3.8</v>
      </c>
      <c r="E144">
        <v>8</v>
      </c>
      <c r="F144">
        <v>14</v>
      </c>
      <c r="G144">
        <f t="shared" si="4"/>
        <v>112</v>
      </c>
      <c r="H144">
        <f>VLOOKUP(A144,fruit_size!$A$2:$E$5,4,FALSE)</f>
        <v>0.31</v>
      </c>
      <c r="I144">
        <f>VLOOKUP(A144,fruit_size!$A$2:$E$5,5,FALSE)</f>
        <v>0.31</v>
      </c>
      <c r="J144" s="4">
        <f t="shared" si="5"/>
        <v>0</v>
      </c>
    </row>
    <row r="145" spans="1:10" x14ac:dyDescent="0.2">
      <c r="A145">
        <v>2</v>
      </c>
      <c r="B145">
        <v>4</v>
      </c>
      <c r="C145">
        <v>3</v>
      </c>
      <c r="D145">
        <v>3.1</v>
      </c>
      <c r="E145">
        <v>8</v>
      </c>
      <c r="F145">
        <v>14</v>
      </c>
      <c r="G145">
        <f t="shared" si="4"/>
        <v>112</v>
      </c>
      <c r="H145">
        <f>VLOOKUP(A145,fruit_size!$A$2:$E$5,4,FALSE)</f>
        <v>0.31</v>
      </c>
      <c r="I145">
        <f>VLOOKUP(A145,fruit_size!$A$2:$E$5,5,FALSE)</f>
        <v>0.31</v>
      </c>
      <c r="J145" s="4">
        <f t="shared" si="5"/>
        <v>0</v>
      </c>
    </row>
    <row r="146" spans="1:10" x14ac:dyDescent="0.2">
      <c r="A146">
        <v>2</v>
      </c>
      <c r="B146">
        <v>4</v>
      </c>
      <c r="C146">
        <v>4</v>
      </c>
      <c r="D146">
        <v>2.31</v>
      </c>
      <c r="E146">
        <v>8</v>
      </c>
      <c r="F146">
        <v>14</v>
      </c>
      <c r="G146">
        <f t="shared" si="4"/>
        <v>112</v>
      </c>
      <c r="H146">
        <f>VLOOKUP(A146,fruit_size!$A$2:$E$5,4,FALSE)</f>
        <v>0.31</v>
      </c>
      <c r="I146">
        <f>VLOOKUP(A146,fruit_size!$A$2:$E$5,5,FALSE)</f>
        <v>0.31</v>
      </c>
      <c r="J146" s="4">
        <f t="shared" si="5"/>
        <v>0</v>
      </c>
    </row>
    <row r="147" spans="1:10" x14ac:dyDescent="0.2">
      <c r="A147">
        <v>2</v>
      </c>
      <c r="B147">
        <v>4</v>
      </c>
      <c r="C147">
        <v>5</v>
      </c>
      <c r="D147">
        <v>3.72</v>
      </c>
      <c r="E147">
        <v>8</v>
      </c>
      <c r="F147">
        <v>14</v>
      </c>
      <c r="G147">
        <f t="shared" si="4"/>
        <v>112</v>
      </c>
      <c r="H147">
        <f>VLOOKUP(A147,fruit_size!$A$2:$E$5,4,FALSE)</f>
        <v>0.31</v>
      </c>
      <c r="I147">
        <f>VLOOKUP(A147,fruit_size!$A$2:$E$5,5,FALSE)</f>
        <v>0.31</v>
      </c>
      <c r="J147" s="4">
        <f t="shared" si="5"/>
        <v>0</v>
      </c>
    </row>
    <row r="148" spans="1:10" x14ac:dyDescent="0.2">
      <c r="A148">
        <v>2</v>
      </c>
      <c r="B148">
        <v>4</v>
      </c>
      <c r="C148">
        <v>6</v>
      </c>
      <c r="D148">
        <v>4.37</v>
      </c>
      <c r="E148">
        <v>8</v>
      </c>
      <c r="F148">
        <v>14</v>
      </c>
      <c r="G148">
        <f t="shared" si="4"/>
        <v>112</v>
      </c>
      <c r="H148">
        <f>VLOOKUP(A148,fruit_size!$A$2:$E$5,4,FALSE)</f>
        <v>0.31</v>
      </c>
      <c r="I148">
        <f>VLOOKUP(A148,fruit_size!$A$2:$E$5,5,FALSE)</f>
        <v>0.31</v>
      </c>
      <c r="J148" s="4">
        <f t="shared" si="5"/>
        <v>0</v>
      </c>
    </row>
    <row r="149" spans="1:10" x14ac:dyDescent="0.2">
      <c r="A149">
        <v>2</v>
      </c>
      <c r="B149">
        <v>4</v>
      </c>
      <c r="C149">
        <v>7</v>
      </c>
      <c r="D149">
        <v>4.12</v>
      </c>
      <c r="E149">
        <v>8</v>
      </c>
      <c r="F149">
        <v>14</v>
      </c>
      <c r="G149">
        <f t="shared" si="4"/>
        <v>112</v>
      </c>
      <c r="H149">
        <f>VLOOKUP(A149,fruit_size!$A$2:$E$5,4,FALSE)</f>
        <v>0.31</v>
      </c>
      <c r="I149">
        <f>VLOOKUP(A149,fruit_size!$A$2:$E$5,5,FALSE)</f>
        <v>0.31</v>
      </c>
      <c r="J149" s="4">
        <f t="shared" si="5"/>
        <v>0</v>
      </c>
    </row>
    <row r="150" spans="1:10" x14ac:dyDescent="0.2">
      <c r="A150">
        <v>2</v>
      </c>
      <c r="B150">
        <v>4</v>
      </c>
      <c r="C150">
        <v>8</v>
      </c>
      <c r="D150">
        <v>4.29</v>
      </c>
      <c r="E150">
        <v>8</v>
      </c>
      <c r="F150">
        <v>14</v>
      </c>
      <c r="G150">
        <f t="shared" si="4"/>
        <v>112</v>
      </c>
      <c r="H150">
        <f>VLOOKUP(A150,fruit_size!$A$2:$E$5,4,FALSE)</f>
        <v>0.31</v>
      </c>
      <c r="I150">
        <f>VLOOKUP(A150,fruit_size!$A$2:$E$5,5,FALSE)</f>
        <v>0.31</v>
      </c>
      <c r="J150" s="4">
        <f t="shared" si="5"/>
        <v>0</v>
      </c>
    </row>
    <row r="151" spans="1:10" x14ac:dyDescent="0.2">
      <c r="A151">
        <v>2</v>
      </c>
      <c r="B151">
        <v>4</v>
      </c>
      <c r="C151">
        <v>9</v>
      </c>
      <c r="D151">
        <v>4.4800000000000004</v>
      </c>
      <c r="E151">
        <v>8</v>
      </c>
      <c r="F151">
        <v>14</v>
      </c>
      <c r="G151">
        <f t="shared" si="4"/>
        <v>112</v>
      </c>
      <c r="H151">
        <f>VLOOKUP(A151,fruit_size!$A$2:$E$5,4,FALSE)</f>
        <v>0.31</v>
      </c>
      <c r="I151">
        <f>VLOOKUP(A151,fruit_size!$A$2:$E$5,5,FALSE)</f>
        <v>0.31</v>
      </c>
      <c r="J151" s="4">
        <f t="shared" si="5"/>
        <v>0</v>
      </c>
    </row>
    <row r="152" spans="1:10" x14ac:dyDescent="0.2">
      <c r="A152">
        <v>2</v>
      </c>
      <c r="B152">
        <v>4</v>
      </c>
      <c r="C152">
        <v>10</v>
      </c>
      <c r="D152">
        <v>5.18</v>
      </c>
      <c r="E152">
        <v>8</v>
      </c>
      <c r="F152">
        <v>14</v>
      </c>
      <c r="G152">
        <f t="shared" si="4"/>
        <v>112</v>
      </c>
      <c r="H152">
        <f>VLOOKUP(A152,fruit_size!$A$2:$E$5,4,FALSE)</f>
        <v>0.31</v>
      </c>
      <c r="I152">
        <f>VLOOKUP(A152,fruit_size!$A$2:$E$5,5,FALSE)</f>
        <v>0.31</v>
      </c>
      <c r="J152" s="4">
        <f t="shared" si="5"/>
        <v>0</v>
      </c>
    </row>
    <row r="153" spans="1:10" x14ac:dyDescent="0.2">
      <c r="A153">
        <v>2</v>
      </c>
      <c r="B153">
        <v>4</v>
      </c>
      <c r="C153">
        <v>11</v>
      </c>
      <c r="D153">
        <v>4.0199999999999996</v>
      </c>
      <c r="E153">
        <v>8</v>
      </c>
      <c r="F153">
        <v>14</v>
      </c>
      <c r="G153">
        <f t="shared" si="4"/>
        <v>112</v>
      </c>
      <c r="H153">
        <f>VLOOKUP(A153,fruit_size!$A$2:$E$5,4,FALSE)</f>
        <v>0.31</v>
      </c>
      <c r="I153">
        <f>VLOOKUP(A153,fruit_size!$A$2:$E$5,5,FALSE)</f>
        <v>0.31</v>
      </c>
      <c r="J153" s="4">
        <f t="shared" si="5"/>
        <v>0</v>
      </c>
    </row>
    <row r="154" spans="1:10" x14ac:dyDescent="0.2">
      <c r="A154">
        <v>2</v>
      </c>
      <c r="B154">
        <v>4</v>
      </c>
      <c r="C154">
        <v>12</v>
      </c>
      <c r="D154">
        <v>4.49</v>
      </c>
      <c r="E154">
        <v>8</v>
      </c>
      <c r="F154">
        <v>14</v>
      </c>
      <c r="G154">
        <f t="shared" si="4"/>
        <v>112</v>
      </c>
      <c r="H154">
        <f>VLOOKUP(A154,fruit_size!$A$2:$E$5,4,FALSE)</f>
        <v>0.31</v>
      </c>
      <c r="I154">
        <f>VLOOKUP(A154,fruit_size!$A$2:$E$5,5,FALSE)</f>
        <v>0.31</v>
      </c>
      <c r="J154" s="4">
        <f t="shared" si="5"/>
        <v>0</v>
      </c>
    </row>
    <row r="155" spans="1:10" x14ac:dyDescent="0.2">
      <c r="A155">
        <v>2</v>
      </c>
      <c r="B155">
        <v>4</v>
      </c>
      <c r="C155">
        <v>13</v>
      </c>
      <c r="D155">
        <v>4.88</v>
      </c>
      <c r="E155">
        <v>8</v>
      </c>
      <c r="F155">
        <v>14</v>
      </c>
      <c r="G155">
        <f t="shared" si="4"/>
        <v>112</v>
      </c>
      <c r="H155">
        <f>VLOOKUP(A155,fruit_size!$A$2:$E$5,4,FALSE)</f>
        <v>0.31</v>
      </c>
      <c r="I155">
        <f>VLOOKUP(A155,fruit_size!$A$2:$E$5,5,FALSE)</f>
        <v>0.31</v>
      </c>
      <c r="J155" s="4">
        <f t="shared" si="5"/>
        <v>0</v>
      </c>
    </row>
    <row r="156" spans="1:10" x14ac:dyDescent="0.2">
      <c r="A156">
        <v>2</v>
      </c>
      <c r="B156">
        <v>4</v>
      </c>
      <c r="C156">
        <v>14</v>
      </c>
      <c r="D156">
        <v>4.09</v>
      </c>
      <c r="E156">
        <v>8</v>
      </c>
      <c r="F156">
        <v>14</v>
      </c>
      <c r="G156">
        <f t="shared" si="4"/>
        <v>112</v>
      </c>
      <c r="H156">
        <f>VLOOKUP(A156,fruit_size!$A$2:$E$5,4,FALSE)</f>
        <v>0.31</v>
      </c>
      <c r="I156">
        <f>VLOOKUP(A156,fruit_size!$A$2:$E$5,5,FALSE)</f>
        <v>0.31</v>
      </c>
      <c r="J156" s="4">
        <f t="shared" si="5"/>
        <v>0</v>
      </c>
    </row>
    <row r="157" spans="1:10" x14ac:dyDescent="0.2">
      <c r="A157">
        <v>2</v>
      </c>
      <c r="B157">
        <v>4</v>
      </c>
      <c r="C157">
        <v>15</v>
      </c>
      <c r="D157">
        <v>4.7300000000000004</v>
      </c>
      <c r="E157">
        <v>8</v>
      </c>
      <c r="F157">
        <v>14</v>
      </c>
      <c r="G157">
        <f t="shared" si="4"/>
        <v>112</v>
      </c>
      <c r="H157">
        <f>VLOOKUP(A157,fruit_size!$A$2:$E$5,4,FALSE)</f>
        <v>0.31</v>
      </c>
      <c r="I157">
        <f>VLOOKUP(A157,fruit_size!$A$2:$E$5,5,FALSE)</f>
        <v>0.31</v>
      </c>
      <c r="J157" s="4">
        <f t="shared" si="5"/>
        <v>0</v>
      </c>
    </row>
    <row r="158" spans="1:10" x14ac:dyDescent="0.2">
      <c r="A158">
        <v>2</v>
      </c>
      <c r="B158">
        <v>4</v>
      </c>
      <c r="C158">
        <v>16</v>
      </c>
      <c r="D158">
        <v>4.13</v>
      </c>
      <c r="E158">
        <v>8</v>
      </c>
      <c r="F158">
        <v>14</v>
      </c>
      <c r="G158">
        <f t="shared" si="4"/>
        <v>112</v>
      </c>
      <c r="H158">
        <f>VLOOKUP(A158,fruit_size!$A$2:$E$5,4,FALSE)</f>
        <v>0.31</v>
      </c>
      <c r="I158">
        <f>VLOOKUP(A158,fruit_size!$A$2:$E$5,5,FALSE)</f>
        <v>0.31</v>
      </c>
      <c r="J158" s="4">
        <f t="shared" si="5"/>
        <v>0</v>
      </c>
    </row>
    <row r="159" spans="1:10" x14ac:dyDescent="0.2">
      <c r="A159">
        <v>2</v>
      </c>
      <c r="B159">
        <v>4</v>
      </c>
      <c r="C159">
        <v>17</v>
      </c>
      <c r="D159">
        <v>3.65</v>
      </c>
      <c r="E159">
        <v>8</v>
      </c>
      <c r="F159">
        <v>14</v>
      </c>
      <c r="G159">
        <f t="shared" si="4"/>
        <v>112</v>
      </c>
      <c r="H159">
        <f>VLOOKUP(A159,fruit_size!$A$2:$E$5,4,FALSE)</f>
        <v>0.31</v>
      </c>
      <c r="I159">
        <f>VLOOKUP(A159,fruit_size!$A$2:$E$5,5,FALSE)</f>
        <v>0.31</v>
      </c>
      <c r="J159" s="4">
        <f t="shared" si="5"/>
        <v>0</v>
      </c>
    </row>
    <row r="160" spans="1:10" x14ac:dyDescent="0.2">
      <c r="A160">
        <v>2</v>
      </c>
      <c r="B160">
        <v>4</v>
      </c>
      <c r="C160">
        <v>18</v>
      </c>
      <c r="D160">
        <v>4.29</v>
      </c>
      <c r="E160">
        <v>8</v>
      </c>
      <c r="F160">
        <v>14</v>
      </c>
      <c r="G160">
        <f t="shared" si="4"/>
        <v>112</v>
      </c>
      <c r="H160">
        <f>VLOOKUP(A160,fruit_size!$A$2:$E$5,4,FALSE)</f>
        <v>0.31</v>
      </c>
      <c r="I160">
        <f>VLOOKUP(A160,fruit_size!$A$2:$E$5,5,FALSE)</f>
        <v>0.31</v>
      </c>
      <c r="J160" s="4">
        <f t="shared" si="5"/>
        <v>0</v>
      </c>
    </row>
    <row r="161" spans="1:10" x14ac:dyDescent="0.2">
      <c r="A161">
        <v>2</v>
      </c>
      <c r="B161">
        <v>4</v>
      </c>
      <c r="C161">
        <v>19</v>
      </c>
      <c r="D161">
        <v>4.1500000000000004</v>
      </c>
      <c r="E161">
        <v>8</v>
      </c>
      <c r="F161">
        <v>14</v>
      </c>
      <c r="G161">
        <f t="shared" si="4"/>
        <v>112</v>
      </c>
      <c r="H161">
        <f>VLOOKUP(A161,fruit_size!$A$2:$E$5,4,FALSE)</f>
        <v>0.31</v>
      </c>
      <c r="I161">
        <f>VLOOKUP(A161,fruit_size!$A$2:$E$5,5,FALSE)</f>
        <v>0.31</v>
      </c>
      <c r="J161" s="4">
        <f t="shared" si="5"/>
        <v>0</v>
      </c>
    </row>
    <row r="162" spans="1:10" x14ac:dyDescent="0.2">
      <c r="A162">
        <v>2</v>
      </c>
      <c r="B162">
        <v>4</v>
      </c>
      <c r="C162">
        <v>20</v>
      </c>
      <c r="D162">
        <v>4.07</v>
      </c>
      <c r="E162">
        <v>8</v>
      </c>
      <c r="F162">
        <v>14</v>
      </c>
      <c r="G162">
        <f t="shared" si="4"/>
        <v>112</v>
      </c>
      <c r="H162">
        <f>VLOOKUP(A162,fruit_size!$A$2:$E$5,4,FALSE)</f>
        <v>0.31</v>
      </c>
      <c r="I162">
        <f>VLOOKUP(A162,fruit_size!$A$2:$E$5,5,FALSE)</f>
        <v>0.31</v>
      </c>
      <c r="J162" s="4">
        <f t="shared" si="5"/>
        <v>0</v>
      </c>
    </row>
    <row r="163" spans="1:10" x14ac:dyDescent="0.2">
      <c r="A163">
        <v>3</v>
      </c>
      <c r="B163">
        <v>1</v>
      </c>
      <c r="C163">
        <v>1</v>
      </c>
      <c r="D163">
        <v>4.5</v>
      </c>
      <c r="E163">
        <v>6</v>
      </c>
      <c r="F163">
        <v>12</v>
      </c>
      <c r="G163">
        <f t="shared" si="4"/>
        <v>72</v>
      </c>
      <c r="H163">
        <f>VLOOKUP(A163,fruit_size!$A$2:$E$5,4,FALSE)</f>
        <v>0.34</v>
      </c>
      <c r="I163">
        <f>VLOOKUP(A163,fruit_size!$A$2:$E$5,5,FALSE)</f>
        <v>0.28999999999999998</v>
      </c>
      <c r="J163" s="4">
        <f t="shared" si="5"/>
        <v>-0.14705882352941188</v>
      </c>
    </row>
    <row r="164" spans="1:10" x14ac:dyDescent="0.2">
      <c r="A164">
        <v>3</v>
      </c>
      <c r="B164">
        <v>1</v>
      </c>
      <c r="C164">
        <v>2</v>
      </c>
      <c r="D164">
        <v>3.39</v>
      </c>
      <c r="E164">
        <v>6</v>
      </c>
      <c r="F164">
        <v>12</v>
      </c>
      <c r="G164">
        <f t="shared" si="4"/>
        <v>72</v>
      </c>
      <c r="H164">
        <f>VLOOKUP(A164,fruit_size!$A$2:$E$5,4,FALSE)</f>
        <v>0.34</v>
      </c>
      <c r="I164">
        <f>VLOOKUP(A164,fruit_size!$A$2:$E$5,5,FALSE)</f>
        <v>0.28999999999999998</v>
      </c>
      <c r="J164" s="4">
        <f t="shared" si="5"/>
        <v>-0.14705882352941188</v>
      </c>
    </row>
    <row r="165" spans="1:10" x14ac:dyDescent="0.2">
      <c r="A165">
        <v>3</v>
      </c>
      <c r="B165">
        <v>1</v>
      </c>
      <c r="C165">
        <v>3</v>
      </c>
      <c r="D165">
        <v>4.5999999999999996</v>
      </c>
      <c r="E165">
        <v>6</v>
      </c>
      <c r="F165">
        <v>12</v>
      </c>
      <c r="G165">
        <f t="shared" si="4"/>
        <v>72</v>
      </c>
      <c r="H165">
        <f>VLOOKUP(A165,fruit_size!$A$2:$E$5,4,FALSE)</f>
        <v>0.34</v>
      </c>
      <c r="I165">
        <f>VLOOKUP(A165,fruit_size!$A$2:$E$5,5,FALSE)</f>
        <v>0.28999999999999998</v>
      </c>
      <c r="J165" s="4">
        <f t="shared" si="5"/>
        <v>-0.14705882352941188</v>
      </c>
    </row>
    <row r="166" spans="1:10" x14ac:dyDescent="0.2">
      <c r="A166">
        <v>3</v>
      </c>
      <c r="B166">
        <v>1</v>
      </c>
      <c r="C166">
        <v>4</v>
      </c>
      <c r="D166">
        <v>4.55</v>
      </c>
      <c r="E166">
        <v>6</v>
      </c>
      <c r="F166">
        <v>12</v>
      </c>
      <c r="G166">
        <f t="shared" si="4"/>
        <v>72</v>
      </c>
      <c r="H166">
        <f>VLOOKUP(A166,fruit_size!$A$2:$E$5,4,FALSE)</f>
        <v>0.34</v>
      </c>
      <c r="I166">
        <f>VLOOKUP(A166,fruit_size!$A$2:$E$5,5,FALSE)</f>
        <v>0.28999999999999998</v>
      </c>
      <c r="J166" s="4">
        <f t="shared" si="5"/>
        <v>-0.14705882352941188</v>
      </c>
    </row>
    <row r="167" spans="1:10" x14ac:dyDescent="0.2">
      <c r="A167">
        <v>3</v>
      </c>
      <c r="B167">
        <v>1</v>
      </c>
      <c r="C167">
        <v>5</v>
      </c>
      <c r="D167">
        <v>4.42</v>
      </c>
      <c r="E167">
        <v>6</v>
      </c>
      <c r="F167">
        <v>12</v>
      </c>
      <c r="G167">
        <f t="shared" si="4"/>
        <v>72</v>
      </c>
      <c r="H167">
        <f>VLOOKUP(A167,fruit_size!$A$2:$E$5,4,FALSE)</f>
        <v>0.34</v>
      </c>
      <c r="I167">
        <f>VLOOKUP(A167,fruit_size!$A$2:$E$5,5,FALSE)</f>
        <v>0.28999999999999998</v>
      </c>
      <c r="J167" s="4">
        <f t="shared" si="5"/>
        <v>-0.14705882352941188</v>
      </c>
    </row>
    <row r="168" spans="1:10" x14ac:dyDescent="0.2">
      <c r="A168">
        <v>3</v>
      </c>
      <c r="B168">
        <v>1</v>
      </c>
      <c r="C168">
        <v>6</v>
      </c>
      <c r="D168">
        <v>5.0599999999999996</v>
      </c>
      <c r="E168">
        <v>6</v>
      </c>
      <c r="F168">
        <v>12</v>
      </c>
      <c r="G168">
        <f t="shared" si="4"/>
        <v>72</v>
      </c>
      <c r="H168">
        <f>VLOOKUP(A168,fruit_size!$A$2:$E$5,4,FALSE)</f>
        <v>0.34</v>
      </c>
      <c r="I168">
        <f>VLOOKUP(A168,fruit_size!$A$2:$E$5,5,FALSE)</f>
        <v>0.28999999999999998</v>
      </c>
      <c r="J168" s="4">
        <f t="shared" si="5"/>
        <v>-0.14705882352941188</v>
      </c>
    </row>
    <row r="169" spans="1:10" x14ac:dyDescent="0.2">
      <c r="A169">
        <v>3</v>
      </c>
      <c r="B169">
        <v>1</v>
      </c>
      <c r="C169">
        <v>7</v>
      </c>
      <c r="D169">
        <v>4.4000000000000004</v>
      </c>
      <c r="E169">
        <v>6</v>
      </c>
      <c r="F169">
        <v>12</v>
      </c>
      <c r="G169">
        <f t="shared" si="4"/>
        <v>72</v>
      </c>
      <c r="H169">
        <f>VLOOKUP(A169,fruit_size!$A$2:$E$5,4,FALSE)</f>
        <v>0.34</v>
      </c>
      <c r="I169">
        <f>VLOOKUP(A169,fruit_size!$A$2:$E$5,5,FALSE)</f>
        <v>0.28999999999999998</v>
      </c>
      <c r="J169" s="4">
        <f t="shared" si="5"/>
        <v>-0.14705882352941188</v>
      </c>
    </row>
    <row r="170" spans="1:10" x14ac:dyDescent="0.2">
      <c r="A170">
        <v>3</v>
      </c>
      <c r="B170">
        <v>1</v>
      </c>
      <c r="C170">
        <v>8</v>
      </c>
      <c r="D170">
        <v>4.8600000000000003</v>
      </c>
      <c r="E170">
        <v>6</v>
      </c>
      <c r="F170">
        <v>12</v>
      </c>
      <c r="G170">
        <f t="shared" si="4"/>
        <v>72</v>
      </c>
      <c r="H170">
        <f>VLOOKUP(A170,fruit_size!$A$2:$E$5,4,FALSE)</f>
        <v>0.34</v>
      </c>
      <c r="I170">
        <f>VLOOKUP(A170,fruit_size!$A$2:$E$5,5,FALSE)</f>
        <v>0.28999999999999998</v>
      </c>
      <c r="J170" s="4">
        <f t="shared" si="5"/>
        <v>-0.14705882352941188</v>
      </c>
    </row>
    <row r="171" spans="1:10" x14ac:dyDescent="0.2">
      <c r="A171">
        <v>3</v>
      </c>
      <c r="B171">
        <v>1</v>
      </c>
      <c r="C171">
        <v>9</v>
      </c>
      <c r="D171">
        <v>5.03</v>
      </c>
      <c r="E171">
        <v>6</v>
      </c>
      <c r="F171">
        <v>12</v>
      </c>
      <c r="G171">
        <f t="shared" si="4"/>
        <v>72</v>
      </c>
      <c r="H171">
        <f>VLOOKUP(A171,fruit_size!$A$2:$E$5,4,FALSE)</f>
        <v>0.34</v>
      </c>
      <c r="I171">
        <f>VLOOKUP(A171,fruit_size!$A$2:$E$5,5,FALSE)</f>
        <v>0.28999999999999998</v>
      </c>
      <c r="J171" s="4">
        <f t="shared" si="5"/>
        <v>-0.14705882352941188</v>
      </c>
    </row>
    <row r="172" spans="1:10" x14ac:dyDescent="0.2">
      <c r="A172">
        <v>3</v>
      </c>
      <c r="B172">
        <v>1</v>
      </c>
      <c r="C172">
        <v>10</v>
      </c>
      <c r="D172">
        <v>4.45</v>
      </c>
      <c r="E172">
        <v>6</v>
      </c>
      <c r="F172">
        <v>12</v>
      </c>
      <c r="G172">
        <f t="shared" si="4"/>
        <v>72</v>
      </c>
      <c r="H172">
        <f>VLOOKUP(A172,fruit_size!$A$2:$E$5,4,FALSE)</f>
        <v>0.34</v>
      </c>
      <c r="I172">
        <f>VLOOKUP(A172,fruit_size!$A$2:$E$5,5,FALSE)</f>
        <v>0.28999999999999998</v>
      </c>
      <c r="J172" s="4">
        <f t="shared" si="5"/>
        <v>-0.14705882352941188</v>
      </c>
    </row>
    <row r="173" spans="1:10" x14ac:dyDescent="0.2">
      <c r="A173">
        <v>3</v>
      </c>
      <c r="B173">
        <v>1</v>
      </c>
      <c r="C173">
        <v>11</v>
      </c>
      <c r="D173">
        <v>4.4800000000000004</v>
      </c>
      <c r="E173">
        <v>6</v>
      </c>
      <c r="F173">
        <v>12</v>
      </c>
      <c r="G173">
        <f t="shared" si="4"/>
        <v>72</v>
      </c>
      <c r="H173">
        <f>VLOOKUP(A173,fruit_size!$A$2:$E$5,4,FALSE)</f>
        <v>0.34</v>
      </c>
      <c r="I173">
        <f>VLOOKUP(A173,fruit_size!$A$2:$E$5,5,FALSE)</f>
        <v>0.28999999999999998</v>
      </c>
      <c r="J173" s="4">
        <f t="shared" si="5"/>
        <v>-0.14705882352941188</v>
      </c>
    </row>
    <row r="174" spans="1:10" x14ac:dyDescent="0.2">
      <c r="A174">
        <v>3</v>
      </c>
      <c r="B174">
        <v>1</v>
      </c>
      <c r="C174">
        <v>12</v>
      </c>
      <c r="D174">
        <v>4.88</v>
      </c>
      <c r="E174">
        <v>6</v>
      </c>
      <c r="F174">
        <v>12</v>
      </c>
      <c r="G174">
        <f t="shared" si="4"/>
        <v>72</v>
      </c>
      <c r="H174">
        <f>VLOOKUP(A174,fruit_size!$A$2:$E$5,4,FALSE)</f>
        <v>0.34</v>
      </c>
      <c r="I174">
        <f>VLOOKUP(A174,fruit_size!$A$2:$E$5,5,FALSE)</f>
        <v>0.28999999999999998</v>
      </c>
      <c r="J174" s="4">
        <f t="shared" si="5"/>
        <v>-0.14705882352941188</v>
      </c>
    </row>
    <row r="175" spans="1:10" x14ac:dyDescent="0.2">
      <c r="A175">
        <v>3</v>
      </c>
      <c r="B175">
        <v>1</v>
      </c>
      <c r="C175">
        <v>13</v>
      </c>
      <c r="D175">
        <v>4.59</v>
      </c>
      <c r="E175">
        <v>6</v>
      </c>
      <c r="F175">
        <v>12</v>
      </c>
      <c r="G175">
        <f t="shared" si="4"/>
        <v>72</v>
      </c>
      <c r="H175">
        <f>VLOOKUP(A175,fruit_size!$A$2:$E$5,4,FALSE)</f>
        <v>0.34</v>
      </c>
      <c r="I175">
        <f>VLOOKUP(A175,fruit_size!$A$2:$E$5,5,FALSE)</f>
        <v>0.28999999999999998</v>
      </c>
      <c r="J175" s="4">
        <f t="shared" si="5"/>
        <v>-0.14705882352941188</v>
      </c>
    </row>
    <row r="176" spans="1:10" x14ac:dyDescent="0.2">
      <c r="A176">
        <v>3</v>
      </c>
      <c r="B176">
        <v>1</v>
      </c>
      <c r="C176">
        <v>14</v>
      </c>
      <c r="D176">
        <v>4.2699999999999996</v>
      </c>
      <c r="E176">
        <v>6</v>
      </c>
      <c r="F176">
        <v>12</v>
      </c>
      <c r="G176">
        <f t="shared" si="4"/>
        <v>72</v>
      </c>
      <c r="H176">
        <f>VLOOKUP(A176,fruit_size!$A$2:$E$5,4,FALSE)</f>
        <v>0.34</v>
      </c>
      <c r="I176">
        <f>VLOOKUP(A176,fruit_size!$A$2:$E$5,5,FALSE)</f>
        <v>0.28999999999999998</v>
      </c>
      <c r="J176" s="4">
        <f t="shared" si="5"/>
        <v>-0.14705882352941188</v>
      </c>
    </row>
    <row r="177" spans="1:10" x14ac:dyDescent="0.2">
      <c r="A177">
        <v>3</v>
      </c>
      <c r="B177">
        <v>1</v>
      </c>
      <c r="C177">
        <v>15</v>
      </c>
      <c r="D177">
        <v>4.28</v>
      </c>
      <c r="E177">
        <v>6</v>
      </c>
      <c r="F177">
        <v>12</v>
      </c>
      <c r="G177">
        <f t="shared" si="4"/>
        <v>72</v>
      </c>
      <c r="H177">
        <f>VLOOKUP(A177,fruit_size!$A$2:$E$5,4,FALSE)</f>
        <v>0.34</v>
      </c>
      <c r="I177">
        <f>VLOOKUP(A177,fruit_size!$A$2:$E$5,5,FALSE)</f>
        <v>0.28999999999999998</v>
      </c>
      <c r="J177" s="4">
        <f t="shared" si="5"/>
        <v>-0.14705882352941188</v>
      </c>
    </row>
    <row r="178" spans="1:10" x14ac:dyDescent="0.2">
      <c r="A178">
        <v>3</v>
      </c>
      <c r="B178">
        <v>1</v>
      </c>
      <c r="C178">
        <v>16</v>
      </c>
      <c r="D178">
        <v>4.6500000000000004</v>
      </c>
      <c r="E178">
        <v>6</v>
      </c>
      <c r="F178">
        <v>12</v>
      </c>
      <c r="G178">
        <f t="shared" si="4"/>
        <v>72</v>
      </c>
      <c r="H178">
        <f>VLOOKUP(A178,fruit_size!$A$2:$E$5,4,FALSE)</f>
        <v>0.34</v>
      </c>
      <c r="I178">
        <f>VLOOKUP(A178,fruit_size!$A$2:$E$5,5,FALSE)</f>
        <v>0.28999999999999998</v>
      </c>
      <c r="J178" s="4">
        <f t="shared" si="5"/>
        <v>-0.14705882352941188</v>
      </c>
    </row>
    <row r="179" spans="1:10" x14ac:dyDescent="0.2">
      <c r="A179">
        <v>3</v>
      </c>
      <c r="B179">
        <v>1</v>
      </c>
      <c r="C179">
        <v>17</v>
      </c>
      <c r="D179">
        <v>4.79</v>
      </c>
      <c r="E179">
        <v>6</v>
      </c>
      <c r="F179">
        <v>12</v>
      </c>
      <c r="G179">
        <f t="shared" si="4"/>
        <v>72</v>
      </c>
      <c r="H179">
        <f>VLOOKUP(A179,fruit_size!$A$2:$E$5,4,FALSE)</f>
        <v>0.34</v>
      </c>
      <c r="I179">
        <f>VLOOKUP(A179,fruit_size!$A$2:$E$5,5,FALSE)</f>
        <v>0.28999999999999998</v>
      </c>
      <c r="J179" s="4">
        <f t="shared" si="5"/>
        <v>-0.14705882352941188</v>
      </c>
    </row>
    <row r="180" spans="1:10" x14ac:dyDescent="0.2">
      <c r="A180">
        <v>3</v>
      </c>
      <c r="B180">
        <v>1</v>
      </c>
      <c r="C180">
        <v>18</v>
      </c>
      <c r="D180">
        <v>3.89</v>
      </c>
      <c r="E180">
        <v>6</v>
      </c>
      <c r="F180">
        <v>12</v>
      </c>
      <c r="G180">
        <f t="shared" si="4"/>
        <v>72</v>
      </c>
      <c r="H180">
        <f>VLOOKUP(A180,fruit_size!$A$2:$E$5,4,FALSE)</f>
        <v>0.34</v>
      </c>
      <c r="I180">
        <f>VLOOKUP(A180,fruit_size!$A$2:$E$5,5,FALSE)</f>
        <v>0.28999999999999998</v>
      </c>
      <c r="J180" s="4">
        <f t="shared" si="5"/>
        <v>-0.14705882352941188</v>
      </c>
    </row>
    <row r="181" spans="1:10" x14ac:dyDescent="0.2">
      <c r="A181">
        <v>3</v>
      </c>
      <c r="B181">
        <v>1</v>
      </c>
      <c r="C181">
        <v>19</v>
      </c>
      <c r="D181">
        <v>3.09</v>
      </c>
      <c r="E181">
        <v>6</v>
      </c>
      <c r="F181">
        <v>12</v>
      </c>
      <c r="G181">
        <f t="shared" si="4"/>
        <v>72</v>
      </c>
      <c r="H181">
        <f>VLOOKUP(A181,fruit_size!$A$2:$E$5,4,FALSE)</f>
        <v>0.34</v>
      </c>
      <c r="I181">
        <f>VLOOKUP(A181,fruit_size!$A$2:$E$5,5,FALSE)</f>
        <v>0.28999999999999998</v>
      </c>
      <c r="J181" s="4">
        <f t="shared" si="5"/>
        <v>-0.14705882352941188</v>
      </c>
    </row>
    <row r="182" spans="1:10" x14ac:dyDescent="0.2">
      <c r="A182">
        <v>3</v>
      </c>
      <c r="B182">
        <v>1</v>
      </c>
      <c r="C182">
        <v>20</v>
      </c>
      <c r="D182">
        <v>3.09</v>
      </c>
      <c r="E182">
        <v>6</v>
      </c>
      <c r="F182">
        <v>12</v>
      </c>
      <c r="G182">
        <f t="shared" si="4"/>
        <v>72</v>
      </c>
      <c r="H182">
        <f>VLOOKUP(A182,fruit_size!$A$2:$E$5,4,FALSE)</f>
        <v>0.34</v>
      </c>
      <c r="I182">
        <f>VLOOKUP(A182,fruit_size!$A$2:$E$5,5,FALSE)</f>
        <v>0.28999999999999998</v>
      </c>
      <c r="J182" s="4">
        <f t="shared" si="5"/>
        <v>-0.14705882352941188</v>
      </c>
    </row>
    <row r="183" spans="1:10" x14ac:dyDescent="0.2">
      <c r="A183">
        <v>3</v>
      </c>
      <c r="B183">
        <v>2</v>
      </c>
      <c r="C183">
        <v>1</v>
      </c>
      <c r="D183">
        <v>5.14</v>
      </c>
      <c r="E183">
        <v>6</v>
      </c>
      <c r="F183">
        <v>12</v>
      </c>
      <c r="G183">
        <f t="shared" si="4"/>
        <v>72</v>
      </c>
      <c r="H183">
        <f>VLOOKUP(A183,fruit_size!$A$2:$E$5,4,FALSE)</f>
        <v>0.34</v>
      </c>
      <c r="I183">
        <f>VLOOKUP(A183,fruit_size!$A$2:$E$5,5,FALSE)</f>
        <v>0.28999999999999998</v>
      </c>
      <c r="J183" s="4">
        <f t="shared" si="5"/>
        <v>-0.14705882352941188</v>
      </c>
    </row>
    <row r="184" spans="1:10" x14ac:dyDescent="0.2">
      <c r="A184">
        <v>3</v>
      </c>
      <c r="B184">
        <v>2</v>
      </c>
      <c r="C184">
        <v>2</v>
      </c>
      <c r="D184">
        <v>4.55</v>
      </c>
      <c r="E184">
        <v>6</v>
      </c>
      <c r="F184">
        <v>12</v>
      </c>
      <c r="G184">
        <f t="shared" si="4"/>
        <v>72</v>
      </c>
      <c r="H184">
        <f>VLOOKUP(A184,fruit_size!$A$2:$E$5,4,FALSE)</f>
        <v>0.34</v>
      </c>
      <c r="I184">
        <f>VLOOKUP(A184,fruit_size!$A$2:$E$5,5,FALSE)</f>
        <v>0.28999999999999998</v>
      </c>
      <c r="J184" s="4">
        <f t="shared" si="5"/>
        <v>-0.14705882352941188</v>
      </c>
    </row>
    <row r="185" spans="1:10" x14ac:dyDescent="0.2">
      <c r="A185">
        <v>3</v>
      </c>
      <c r="B185">
        <v>2</v>
      </c>
      <c r="C185">
        <v>3</v>
      </c>
      <c r="D185">
        <v>4.55</v>
      </c>
      <c r="E185">
        <v>6</v>
      </c>
      <c r="F185">
        <v>12</v>
      </c>
      <c r="G185">
        <f t="shared" si="4"/>
        <v>72</v>
      </c>
      <c r="H185">
        <f>VLOOKUP(A185,fruit_size!$A$2:$E$5,4,FALSE)</f>
        <v>0.34</v>
      </c>
      <c r="I185">
        <f>VLOOKUP(A185,fruit_size!$A$2:$E$5,5,FALSE)</f>
        <v>0.28999999999999998</v>
      </c>
      <c r="J185" s="4">
        <f t="shared" si="5"/>
        <v>-0.14705882352941188</v>
      </c>
    </row>
    <row r="186" spans="1:10" x14ac:dyDescent="0.2">
      <c r="A186">
        <v>3</v>
      </c>
      <c r="B186">
        <v>2</v>
      </c>
      <c r="C186">
        <v>4</v>
      </c>
      <c r="D186">
        <v>5.03</v>
      </c>
      <c r="E186">
        <v>6</v>
      </c>
      <c r="F186">
        <v>12</v>
      </c>
      <c r="G186">
        <f t="shared" si="4"/>
        <v>72</v>
      </c>
      <c r="H186">
        <f>VLOOKUP(A186,fruit_size!$A$2:$E$5,4,FALSE)</f>
        <v>0.34</v>
      </c>
      <c r="I186">
        <f>VLOOKUP(A186,fruit_size!$A$2:$E$5,5,FALSE)</f>
        <v>0.28999999999999998</v>
      </c>
      <c r="J186" s="4">
        <f t="shared" si="5"/>
        <v>-0.14705882352941188</v>
      </c>
    </row>
    <row r="187" spans="1:10" x14ac:dyDescent="0.2">
      <c r="A187">
        <v>3</v>
      </c>
      <c r="B187">
        <v>2</v>
      </c>
      <c r="C187">
        <v>5</v>
      </c>
      <c r="D187">
        <v>4.5999999999999996</v>
      </c>
      <c r="E187">
        <v>6</v>
      </c>
      <c r="F187">
        <v>12</v>
      </c>
      <c r="G187">
        <f t="shared" si="4"/>
        <v>72</v>
      </c>
      <c r="H187">
        <f>VLOOKUP(A187,fruit_size!$A$2:$E$5,4,FALSE)</f>
        <v>0.34</v>
      </c>
      <c r="I187">
        <f>VLOOKUP(A187,fruit_size!$A$2:$E$5,5,FALSE)</f>
        <v>0.28999999999999998</v>
      </c>
      <c r="J187" s="4">
        <f t="shared" si="5"/>
        <v>-0.14705882352941188</v>
      </c>
    </row>
    <row r="188" spans="1:10" x14ac:dyDescent="0.2">
      <c r="A188">
        <v>3</v>
      </c>
      <c r="B188">
        <v>2</v>
      </c>
      <c r="C188">
        <v>6</v>
      </c>
      <c r="D188">
        <v>6.03</v>
      </c>
      <c r="E188">
        <v>6</v>
      </c>
      <c r="F188">
        <v>12</v>
      </c>
      <c r="G188">
        <f t="shared" si="4"/>
        <v>72</v>
      </c>
      <c r="H188">
        <f>VLOOKUP(A188,fruit_size!$A$2:$E$5,4,FALSE)</f>
        <v>0.34</v>
      </c>
      <c r="I188">
        <f>VLOOKUP(A188,fruit_size!$A$2:$E$5,5,FALSE)</f>
        <v>0.28999999999999998</v>
      </c>
      <c r="J188" s="4">
        <f t="shared" si="5"/>
        <v>-0.14705882352941188</v>
      </c>
    </row>
    <row r="189" spans="1:10" x14ac:dyDescent="0.2">
      <c r="A189">
        <v>3</v>
      </c>
      <c r="B189">
        <v>2</v>
      </c>
      <c r="C189">
        <v>7</v>
      </c>
      <c r="D189">
        <v>4.76</v>
      </c>
      <c r="E189">
        <v>6</v>
      </c>
      <c r="F189">
        <v>12</v>
      </c>
      <c r="G189">
        <f t="shared" si="4"/>
        <v>72</v>
      </c>
      <c r="H189">
        <f>VLOOKUP(A189,fruit_size!$A$2:$E$5,4,FALSE)</f>
        <v>0.34</v>
      </c>
      <c r="I189">
        <f>VLOOKUP(A189,fruit_size!$A$2:$E$5,5,FALSE)</f>
        <v>0.28999999999999998</v>
      </c>
      <c r="J189" s="4">
        <f t="shared" si="5"/>
        <v>-0.14705882352941188</v>
      </c>
    </row>
    <row r="190" spans="1:10" x14ac:dyDescent="0.2">
      <c r="A190">
        <v>3</v>
      </c>
      <c r="B190">
        <v>2</v>
      </c>
      <c r="C190">
        <v>8</v>
      </c>
      <c r="D190">
        <v>4.88</v>
      </c>
      <c r="E190">
        <v>6</v>
      </c>
      <c r="F190">
        <v>12</v>
      </c>
      <c r="G190">
        <f t="shared" si="4"/>
        <v>72</v>
      </c>
      <c r="H190">
        <f>VLOOKUP(A190,fruit_size!$A$2:$E$5,4,FALSE)</f>
        <v>0.34</v>
      </c>
      <c r="I190">
        <f>VLOOKUP(A190,fruit_size!$A$2:$E$5,5,FALSE)</f>
        <v>0.28999999999999998</v>
      </c>
      <c r="J190" s="4">
        <f t="shared" si="5"/>
        <v>-0.14705882352941188</v>
      </c>
    </row>
    <row r="191" spans="1:10" x14ac:dyDescent="0.2">
      <c r="A191">
        <v>3</v>
      </c>
      <c r="B191">
        <v>2</v>
      </c>
      <c r="C191">
        <v>9</v>
      </c>
      <c r="D191">
        <v>4.21</v>
      </c>
      <c r="E191">
        <v>6</v>
      </c>
      <c r="F191">
        <v>12</v>
      </c>
      <c r="G191">
        <f t="shared" si="4"/>
        <v>72</v>
      </c>
      <c r="H191">
        <f>VLOOKUP(A191,fruit_size!$A$2:$E$5,4,FALSE)</f>
        <v>0.34</v>
      </c>
      <c r="I191">
        <f>VLOOKUP(A191,fruit_size!$A$2:$E$5,5,FALSE)</f>
        <v>0.28999999999999998</v>
      </c>
      <c r="J191" s="4">
        <f t="shared" si="5"/>
        <v>-0.14705882352941188</v>
      </c>
    </row>
    <row r="192" spans="1:10" x14ac:dyDescent="0.2">
      <c r="A192">
        <v>3</v>
      </c>
      <c r="B192">
        <v>2</v>
      </c>
      <c r="C192">
        <v>10</v>
      </c>
      <c r="D192">
        <v>4.03</v>
      </c>
      <c r="E192">
        <v>6</v>
      </c>
      <c r="F192">
        <v>12</v>
      </c>
      <c r="G192">
        <f t="shared" si="4"/>
        <v>72</v>
      </c>
      <c r="H192">
        <f>VLOOKUP(A192,fruit_size!$A$2:$E$5,4,FALSE)</f>
        <v>0.34</v>
      </c>
      <c r="I192">
        <f>VLOOKUP(A192,fruit_size!$A$2:$E$5,5,FALSE)</f>
        <v>0.28999999999999998</v>
      </c>
      <c r="J192" s="4">
        <f t="shared" si="5"/>
        <v>-0.14705882352941188</v>
      </c>
    </row>
    <row r="193" spans="1:10" x14ac:dyDescent="0.2">
      <c r="A193">
        <v>3</v>
      </c>
      <c r="B193">
        <v>2</v>
      </c>
      <c r="C193">
        <v>11</v>
      </c>
      <c r="D193">
        <v>4.32</v>
      </c>
      <c r="E193">
        <v>6</v>
      </c>
      <c r="F193">
        <v>12</v>
      </c>
      <c r="G193">
        <f t="shared" si="4"/>
        <v>72</v>
      </c>
      <c r="H193">
        <f>VLOOKUP(A193,fruit_size!$A$2:$E$5,4,FALSE)</f>
        <v>0.34</v>
      </c>
      <c r="I193">
        <f>VLOOKUP(A193,fruit_size!$A$2:$E$5,5,FALSE)</f>
        <v>0.28999999999999998</v>
      </c>
      <c r="J193" s="4">
        <f t="shared" si="5"/>
        <v>-0.14705882352941188</v>
      </c>
    </row>
    <row r="194" spans="1:10" x14ac:dyDescent="0.2">
      <c r="A194">
        <v>3</v>
      </c>
      <c r="B194">
        <v>2</v>
      </c>
      <c r="C194">
        <v>12</v>
      </c>
      <c r="D194">
        <v>4.04</v>
      </c>
      <c r="E194">
        <v>6</v>
      </c>
      <c r="F194">
        <v>12</v>
      </c>
      <c r="G194">
        <f t="shared" si="4"/>
        <v>72</v>
      </c>
      <c r="H194">
        <f>VLOOKUP(A194,fruit_size!$A$2:$E$5,4,FALSE)</f>
        <v>0.34</v>
      </c>
      <c r="I194">
        <f>VLOOKUP(A194,fruit_size!$A$2:$E$5,5,FALSE)</f>
        <v>0.28999999999999998</v>
      </c>
      <c r="J194" s="4">
        <f t="shared" si="5"/>
        <v>-0.14705882352941188</v>
      </c>
    </row>
    <row r="195" spans="1:10" x14ac:dyDescent="0.2">
      <c r="A195">
        <v>3</v>
      </c>
      <c r="B195">
        <v>2</v>
      </c>
      <c r="C195">
        <v>13</v>
      </c>
      <c r="D195">
        <v>5.0999999999999996</v>
      </c>
      <c r="E195">
        <v>6</v>
      </c>
      <c r="F195">
        <v>12</v>
      </c>
      <c r="G195">
        <f t="shared" si="4"/>
        <v>72</v>
      </c>
      <c r="H195">
        <f>VLOOKUP(A195,fruit_size!$A$2:$E$5,4,FALSE)</f>
        <v>0.34</v>
      </c>
      <c r="I195">
        <f>VLOOKUP(A195,fruit_size!$A$2:$E$5,5,FALSE)</f>
        <v>0.28999999999999998</v>
      </c>
      <c r="J195" s="4">
        <f t="shared" si="5"/>
        <v>-0.14705882352941188</v>
      </c>
    </row>
    <row r="196" spans="1:10" x14ac:dyDescent="0.2">
      <c r="A196">
        <v>3</v>
      </c>
      <c r="B196">
        <v>2</v>
      </c>
      <c r="C196">
        <v>14</v>
      </c>
      <c r="D196">
        <v>5.01</v>
      </c>
      <c r="E196">
        <v>6</v>
      </c>
      <c r="F196">
        <v>12</v>
      </c>
      <c r="G196">
        <f t="shared" ref="G196:G259" si="6">E196*F196</f>
        <v>72</v>
      </c>
      <c r="H196">
        <f>VLOOKUP(A196,fruit_size!$A$2:$E$5,4,FALSE)</f>
        <v>0.34</v>
      </c>
      <c r="I196">
        <f>VLOOKUP(A196,fruit_size!$A$2:$E$5,5,FALSE)</f>
        <v>0.28999999999999998</v>
      </c>
      <c r="J196" s="4">
        <f t="shared" ref="J196:J259" si="7">(I196-H196)/H196</f>
        <v>-0.14705882352941188</v>
      </c>
    </row>
    <row r="197" spans="1:10" x14ac:dyDescent="0.2">
      <c r="A197">
        <v>3</v>
      </c>
      <c r="B197">
        <v>2</v>
      </c>
      <c r="C197">
        <v>15</v>
      </c>
      <c r="D197">
        <v>5.24</v>
      </c>
      <c r="E197">
        <v>6</v>
      </c>
      <c r="F197">
        <v>12</v>
      </c>
      <c r="G197">
        <f t="shared" si="6"/>
        <v>72</v>
      </c>
      <c r="H197">
        <f>VLOOKUP(A197,fruit_size!$A$2:$E$5,4,FALSE)</f>
        <v>0.34</v>
      </c>
      <c r="I197">
        <f>VLOOKUP(A197,fruit_size!$A$2:$E$5,5,FALSE)</f>
        <v>0.28999999999999998</v>
      </c>
      <c r="J197" s="4">
        <f t="shared" si="7"/>
        <v>-0.14705882352941188</v>
      </c>
    </row>
    <row r="198" spans="1:10" x14ac:dyDescent="0.2">
      <c r="A198">
        <v>3</v>
      </c>
      <c r="B198">
        <v>2</v>
      </c>
      <c r="C198">
        <v>16</v>
      </c>
      <c r="D198">
        <v>5.0199999999999996</v>
      </c>
      <c r="E198">
        <v>6</v>
      </c>
      <c r="F198">
        <v>12</v>
      </c>
      <c r="G198">
        <f t="shared" si="6"/>
        <v>72</v>
      </c>
      <c r="H198">
        <f>VLOOKUP(A198,fruit_size!$A$2:$E$5,4,FALSE)</f>
        <v>0.34</v>
      </c>
      <c r="I198">
        <f>VLOOKUP(A198,fruit_size!$A$2:$E$5,5,FALSE)</f>
        <v>0.28999999999999998</v>
      </c>
      <c r="J198" s="4">
        <f t="shared" si="7"/>
        <v>-0.14705882352941188</v>
      </c>
    </row>
    <row r="199" spans="1:10" x14ac:dyDescent="0.2">
      <c r="A199">
        <v>3</v>
      </c>
      <c r="B199">
        <v>2</v>
      </c>
      <c r="C199">
        <v>17</v>
      </c>
      <c r="D199">
        <v>5.0599999999999996</v>
      </c>
      <c r="E199">
        <v>6</v>
      </c>
      <c r="F199">
        <v>12</v>
      </c>
      <c r="G199">
        <f t="shared" si="6"/>
        <v>72</v>
      </c>
      <c r="H199">
        <f>VLOOKUP(A199,fruit_size!$A$2:$E$5,4,FALSE)</f>
        <v>0.34</v>
      </c>
      <c r="I199">
        <f>VLOOKUP(A199,fruit_size!$A$2:$E$5,5,FALSE)</f>
        <v>0.28999999999999998</v>
      </c>
      <c r="J199" s="4">
        <f t="shared" si="7"/>
        <v>-0.14705882352941188</v>
      </c>
    </row>
    <row r="200" spans="1:10" x14ac:dyDescent="0.2">
      <c r="A200">
        <v>3</v>
      </c>
      <c r="B200">
        <v>2</v>
      </c>
      <c r="C200">
        <v>18</v>
      </c>
      <c r="D200">
        <v>4.72</v>
      </c>
      <c r="E200">
        <v>6</v>
      </c>
      <c r="F200">
        <v>12</v>
      </c>
      <c r="G200">
        <f t="shared" si="6"/>
        <v>72</v>
      </c>
      <c r="H200">
        <f>VLOOKUP(A200,fruit_size!$A$2:$E$5,4,FALSE)</f>
        <v>0.34</v>
      </c>
      <c r="I200">
        <f>VLOOKUP(A200,fruit_size!$A$2:$E$5,5,FALSE)</f>
        <v>0.28999999999999998</v>
      </c>
      <c r="J200" s="4">
        <f t="shared" si="7"/>
        <v>-0.14705882352941188</v>
      </c>
    </row>
    <row r="201" spans="1:10" x14ac:dyDescent="0.2">
      <c r="A201">
        <v>3</v>
      </c>
      <c r="B201">
        <v>2</v>
      </c>
      <c r="C201">
        <v>19</v>
      </c>
      <c r="D201">
        <v>4.55</v>
      </c>
      <c r="E201">
        <v>6</v>
      </c>
      <c r="F201">
        <v>12</v>
      </c>
      <c r="G201">
        <f t="shared" si="6"/>
        <v>72</v>
      </c>
      <c r="H201">
        <f>VLOOKUP(A201,fruit_size!$A$2:$E$5,4,FALSE)</f>
        <v>0.34</v>
      </c>
      <c r="I201">
        <f>VLOOKUP(A201,fruit_size!$A$2:$E$5,5,FALSE)</f>
        <v>0.28999999999999998</v>
      </c>
      <c r="J201" s="4">
        <f t="shared" si="7"/>
        <v>-0.14705882352941188</v>
      </c>
    </row>
    <row r="202" spans="1:10" x14ac:dyDescent="0.2">
      <c r="A202">
        <v>3</v>
      </c>
      <c r="B202">
        <v>2</v>
      </c>
      <c r="C202">
        <v>20</v>
      </c>
      <c r="D202">
        <v>4.32</v>
      </c>
      <c r="E202">
        <v>6</v>
      </c>
      <c r="F202">
        <v>12</v>
      </c>
      <c r="G202">
        <f t="shared" si="6"/>
        <v>72</v>
      </c>
      <c r="H202">
        <f>VLOOKUP(A202,fruit_size!$A$2:$E$5,4,FALSE)</f>
        <v>0.34</v>
      </c>
      <c r="I202">
        <f>VLOOKUP(A202,fruit_size!$A$2:$E$5,5,FALSE)</f>
        <v>0.28999999999999998</v>
      </c>
      <c r="J202" s="4">
        <f t="shared" si="7"/>
        <v>-0.14705882352941188</v>
      </c>
    </row>
    <row r="203" spans="1:10" x14ac:dyDescent="0.2">
      <c r="A203">
        <v>3</v>
      </c>
      <c r="B203">
        <v>3</v>
      </c>
      <c r="C203">
        <v>1</v>
      </c>
      <c r="D203">
        <v>5.54</v>
      </c>
      <c r="E203">
        <v>6</v>
      </c>
      <c r="F203">
        <v>12</v>
      </c>
      <c r="G203">
        <f t="shared" si="6"/>
        <v>72</v>
      </c>
      <c r="H203">
        <f>VLOOKUP(A203,fruit_size!$A$2:$E$5,4,FALSE)</f>
        <v>0.34</v>
      </c>
      <c r="I203">
        <f>VLOOKUP(A203,fruit_size!$A$2:$E$5,5,FALSE)</f>
        <v>0.28999999999999998</v>
      </c>
      <c r="J203" s="4">
        <f t="shared" si="7"/>
        <v>-0.14705882352941188</v>
      </c>
    </row>
    <row r="204" spans="1:10" x14ac:dyDescent="0.2">
      <c r="A204">
        <v>3</v>
      </c>
      <c r="B204">
        <v>3</v>
      </c>
      <c r="C204">
        <v>2</v>
      </c>
      <c r="D204">
        <v>4.66</v>
      </c>
      <c r="E204">
        <v>6</v>
      </c>
      <c r="F204">
        <v>12</v>
      </c>
      <c r="G204">
        <f t="shared" si="6"/>
        <v>72</v>
      </c>
      <c r="H204">
        <f>VLOOKUP(A204,fruit_size!$A$2:$E$5,4,FALSE)</f>
        <v>0.34</v>
      </c>
      <c r="I204">
        <f>VLOOKUP(A204,fruit_size!$A$2:$E$5,5,FALSE)</f>
        <v>0.28999999999999998</v>
      </c>
      <c r="J204" s="4">
        <f t="shared" si="7"/>
        <v>-0.14705882352941188</v>
      </c>
    </row>
    <row r="205" spans="1:10" x14ac:dyDescent="0.2">
      <c r="A205">
        <v>3</v>
      </c>
      <c r="B205">
        <v>3</v>
      </c>
      <c r="C205">
        <v>3</v>
      </c>
      <c r="D205">
        <v>5.33</v>
      </c>
      <c r="E205">
        <v>6</v>
      </c>
      <c r="F205">
        <v>12</v>
      </c>
      <c r="G205">
        <f t="shared" si="6"/>
        <v>72</v>
      </c>
      <c r="H205">
        <f>VLOOKUP(A205,fruit_size!$A$2:$E$5,4,FALSE)</f>
        <v>0.34</v>
      </c>
      <c r="I205">
        <f>VLOOKUP(A205,fruit_size!$A$2:$E$5,5,FALSE)</f>
        <v>0.28999999999999998</v>
      </c>
      <c r="J205" s="4">
        <f t="shared" si="7"/>
        <v>-0.14705882352941188</v>
      </c>
    </row>
    <row r="206" spans="1:10" x14ac:dyDescent="0.2">
      <c r="A206">
        <v>3</v>
      </c>
      <c r="B206">
        <v>3</v>
      </c>
      <c r="C206">
        <v>4</v>
      </c>
      <c r="D206">
        <v>4.74</v>
      </c>
      <c r="E206">
        <v>6</v>
      </c>
      <c r="F206">
        <v>12</v>
      </c>
      <c r="G206">
        <f t="shared" si="6"/>
        <v>72</v>
      </c>
      <c r="H206">
        <f>VLOOKUP(A206,fruit_size!$A$2:$E$5,4,FALSE)</f>
        <v>0.34</v>
      </c>
      <c r="I206">
        <f>VLOOKUP(A206,fruit_size!$A$2:$E$5,5,FALSE)</f>
        <v>0.28999999999999998</v>
      </c>
      <c r="J206" s="4">
        <f t="shared" si="7"/>
        <v>-0.14705882352941188</v>
      </c>
    </row>
    <row r="207" spans="1:10" x14ac:dyDescent="0.2">
      <c r="A207">
        <v>3</v>
      </c>
      <c r="B207">
        <v>3</v>
      </c>
      <c r="C207">
        <v>5</v>
      </c>
      <c r="D207">
        <v>3.79</v>
      </c>
      <c r="E207">
        <v>6</v>
      </c>
      <c r="F207">
        <v>12</v>
      </c>
      <c r="G207">
        <f t="shared" si="6"/>
        <v>72</v>
      </c>
      <c r="H207">
        <f>VLOOKUP(A207,fruit_size!$A$2:$E$5,4,FALSE)</f>
        <v>0.34</v>
      </c>
      <c r="I207">
        <f>VLOOKUP(A207,fruit_size!$A$2:$E$5,5,FALSE)</f>
        <v>0.28999999999999998</v>
      </c>
      <c r="J207" s="4">
        <f t="shared" si="7"/>
        <v>-0.14705882352941188</v>
      </c>
    </row>
    <row r="208" spans="1:10" x14ac:dyDescent="0.2">
      <c r="A208">
        <v>3</v>
      </c>
      <c r="B208">
        <v>3</v>
      </c>
      <c r="C208">
        <v>6</v>
      </c>
      <c r="D208">
        <v>4.22</v>
      </c>
      <c r="E208">
        <v>6</v>
      </c>
      <c r="F208">
        <v>12</v>
      </c>
      <c r="G208">
        <f t="shared" si="6"/>
        <v>72</v>
      </c>
      <c r="H208">
        <f>VLOOKUP(A208,fruit_size!$A$2:$E$5,4,FALSE)</f>
        <v>0.34</v>
      </c>
      <c r="I208">
        <f>VLOOKUP(A208,fruit_size!$A$2:$E$5,5,FALSE)</f>
        <v>0.28999999999999998</v>
      </c>
      <c r="J208" s="4">
        <f t="shared" si="7"/>
        <v>-0.14705882352941188</v>
      </c>
    </row>
    <row r="209" spans="1:10" x14ac:dyDescent="0.2">
      <c r="A209">
        <v>3</v>
      </c>
      <c r="B209">
        <v>3</v>
      </c>
      <c r="C209">
        <v>7</v>
      </c>
      <c r="D209">
        <v>4.6900000000000004</v>
      </c>
      <c r="E209">
        <v>6</v>
      </c>
      <c r="F209">
        <v>12</v>
      </c>
      <c r="G209">
        <f t="shared" si="6"/>
        <v>72</v>
      </c>
      <c r="H209">
        <f>VLOOKUP(A209,fruit_size!$A$2:$E$5,4,FALSE)</f>
        <v>0.34</v>
      </c>
      <c r="I209">
        <f>VLOOKUP(A209,fruit_size!$A$2:$E$5,5,FALSE)</f>
        <v>0.28999999999999998</v>
      </c>
      <c r="J209" s="4">
        <f t="shared" si="7"/>
        <v>-0.14705882352941188</v>
      </c>
    </row>
    <row r="210" spans="1:10" x14ac:dyDescent="0.2">
      <c r="A210">
        <v>3</v>
      </c>
      <c r="B210">
        <v>3</v>
      </c>
      <c r="C210">
        <v>8</v>
      </c>
      <c r="D210">
        <v>4.6100000000000003</v>
      </c>
      <c r="E210">
        <v>6</v>
      </c>
      <c r="F210">
        <v>12</v>
      </c>
      <c r="G210">
        <f t="shared" si="6"/>
        <v>72</v>
      </c>
      <c r="H210">
        <f>VLOOKUP(A210,fruit_size!$A$2:$E$5,4,FALSE)</f>
        <v>0.34</v>
      </c>
      <c r="I210">
        <f>VLOOKUP(A210,fruit_size!$A$2:$E$5,5,FALSE)</f>
        <v>0.28999999999999998</v>
      </c>
      <c r="J210" s="4">
        <f t="shared" si="7"/>
        <v>-0.14705882352941188</v>
      </c>
    </row>
    <row r="211" spans="1:10" x14ac:dyDescent="0.2">
      <c r="A211">
        <v>3</v>
      </c>
      <c r="B211">
        <v>3</v>
      </c>
      <c r="C211">
        <v>9</v>
      </c>
      <c r="D211">
        <v>4.7300000000000004</v>
      </c>
      <c r="E211">
        <v>6</v>
      </c>
      <c r="F211">
        <v>12</v>
      </c>
      <c r="G211">
        <f t="shared" si="6"/>
        <v>72</v>
      </c>
      <c r="H211">
        <f>VLOOKUP(A211,fruit_size!$A$2:$E$5,4,FALSE)</f>
        <v>0.34</v>
      </c>
      <c r="I211">
        <f>VLOOKUP(A211,fruit_size!$A$2:$E$5,5,FALSE)</f>
        <v>0.28999999999999998</v>
      </c>
      <c r="J211" s="4">
        <f t="shared" si="7"/>
        <v>-0.14705882352941188</v>
      </c>
    </row>
    <row r="212" spans="1:10" x14ac:dyDescent="0.2">
      <c r="A212">
        <v>3</v>
      </c>
      <c r="B212">
        <v>3</v>
      </c>
      <c r="C212">
        <v>10</v>
      </c>
      <c r="D212">
        <v>5.2</v>
      </c>
      <c r="E212">
        <v>6</v>
      </c>
      <c r="F212">
        <v>12</v>
      </c>
      <c r="G212">
        <f t="shared" si="6"/>
        <v>72</v>
      </c>
      <c r="H212">
        <f>VLOOKUP(A212,fruit_size!$A$2:$E$5,4,FALSE)</f>
        <v>0.34</v>
      </c>
      <c r="I212">
        <f>VLOOKUP(A212,fruit_size!$A$2:$E$5,5,FALSE)</f>
        <v>0.28999999999999998</v>
      </c>
      <c r="J212" s="4">
        <f t="shared" si="7"/>
        <v>-0.14705882352941188</v>
      </c>
    </row>
    <row r="213" spans="1:10" x14ac:dyDescent="0.2">
      <c r="A213">
        <v>3</v>
      </c>
      <c r="B213">
        <v>3</v>
      </c>
      <c r="C213">
        <v>11</v>
      </c>
      <c r="D213">
        <v>5.85</v>
      </c>
      <c r="E213">
        <v>6</v>
      </c>
      <c r="F213">
        <v>12</v>
      </c>
      <c r="G213">
        <f t="shared" si="6"/>
        <v>72</v>
      </c>
      <c r="H213">
        <f>VLOOKUP(A213,fruit_size!$A$2:$E$5,4,FALSE)</f>
        <v>0.34</v>
      </c>
      <c r="I213">
        <f>VLOOKUP(A213,fruit_size!$A$2:$E$5,5,FALSE)</f>
        <v>0.28999999999999998</v>
      </c>
      <c r="J213" s="4">
        <f t="shared" si="7"/>
        <v>-0.14705882352941188</v>
      </c>
    </row>
    <row r="214" spans="1:10" x14ac:dyDescent="0.2">
      <c r="A214">
        <v>3</v>
      </c>
      <c r="B214">
        <v>3</v>
      </c>
      <c r="C214">
        <v>12</v>
      </c>
      <c r="D214">
        <v>4.43</v>
      </c>
      <c r="E214">
        <v>6</v>
      </c>
      <c r="F214">
        <v>12</v>
      </c>
      <c r="G214">
        <f t="shared" si="6"/>
        <v>72</v>
      </c>
      <c r="H214">
        <f>VLOOKUP(A214,fruit_size!$A$2:$E$5,4,FALSE)</f>
        <v>0.34</v>
      </c>
      <c r="I214">
        <f>VLOOKUP(A214,fruit_size!$A$2:$E$5,5,FALSE)</f>
        <v>0.28999999999999998</v>
      </c>
      <c r="J214" s="4">
        <f t="shared" si="7"/>
        <v>-0.14705882352941188</v>
      </c>
    </row>
    <row r="215" spans="1:10" x14ac:dyDescent="0.2">
      <c r="A215">
        <v>3</v>
      </c>
      <c r="B215">
        <v>3</v>
      </c>
      <c r="C215">
        <v>13</v>
      </c>
      <c r="D215">
        <v>4.76</v>
      </c>
      <c r="E215">
        <v>6</v>
      </c>
      <c r="F215">
        <v>12</v>
      </c>
      <c r="G215">
        <f t="shared" si="6"/>
        <v>72</v>
      </c>
      <c r="H215">
        <f>VLOOKUP(A215,fruit_size!$A$2:$E$5,4,FALSE)</f>
        <v>0.34</v>
      </c>
      <c r="I215">
        <f>VLOOKUP(A215,fruit_size!$A$2:$E$5,5,FALSE)</f>
        <v>0.28999999999999998</v>
      </c>
      <c r="J215" s="4">
        <f t="shared" si="7"/>
        <v>-0.14705882352941188</v>
      </c>
    </row>
    <row r="216" spans="1:10" x14ac:dyDescent="0.2">
      <c r="A216">
        <v>3</v>
      </c>
      <c r="B216">
        <v>3</v>
      </c>
      <c r="C216">
        <v>14</v>
      </c>
      <c r="D216">
        <v>4.72</v>
      </c>
      <c r="E216">
        <v>6</v>
      </c>
      <c r="F216">
        <v>12</v>
      </c>
      <c r="G216">
        <f t="shared" si="6"/>
        <v>72</v>
      </c>
      <c r="H216">
        <f>VLOOKUP(A216,fruit_size!$A$2:$E$5,4,FALSE)</f>
        <v>0.34</v>
      </c>
      <c r="I216">
        <f>VLOOKUP(A216,fruit_size!$A$2:$E$5,5,FALSE)</f>
        <v>0.28999999999999998</v>
      </c>
      <c r="J216" s="4">
        <f t="shared" si="7"/>
        <v>-0.14705882352941188</v>
      </c>
    </row>
    <row r="217" spans="1:10" x14ac:dyDescent="0.2">
      <c r="A217">
        <v>3</v>
      </c>
      <c r="B217">
        <v>3</v>
      </c>
      <c r="C217">
        <v>15</v>
      </c>
      <c r="D217">
        <v>5.25</v>
      </c>
      <c r="E217">
        <v>6</v>
      </c>
      <c r="F217">
        <v>12</v>
      </c>
      <c r="G217">
        <f t="shared" si="6"/>
        <v>72</v>
      </c>
      <c r="H217">
        <f>VLOOKUP(A217,fruit_size!$A$2:$E$5,4,FALSE)</f>
        <v>0.34</v>
      </c>
      <c r="I217">
        <f>VLOOKUP(A217,fruit_size!$A$2:$E$5,5,FALSE)</f>
        <v>0.28999999999999998</v>
      </c>
      <c r="J217" s="4">
        <f t="shared" si="7"/>
        <v>-0.14705882352941188</v>
      </c>
    </row>
    <row r="218" spans="1:10" x14ac:dyDescent="0.2">
      <c r="A218">
        <v>3</v>
      </c>
      <c r="B218">
        <v>3</v>
      </c>
      <c r="C218">
        <v>16</v>
      </c>
      <c r="D218">
        <v>5.73</v>
      </c>
      <c r="E218">
        <v>6</v>
      </c>
      <c r="F218">
        <v>12</v>
      </c>
      <c r="G218">
        <f t="shared" si="6"/>
        <v>72</v>
      </c>
      <c r="H218">
        <f>VLOOKUP(A218,fruit_size!$A$2:$E$5,4,FALSE)</f>
        <v>0.34</v>
      </c>
      <c r="I218">
        <f>VLOOKUP(A218,fruit_size!$A$2:$E$5,5,FALSE)</f>
        <v>0.28999999999999998</v>
      </c>
      <c r="J218" s="4">
        <f t="shared" si="7"/>
        <v>-0.14705882352941188</v>
      </c>
    </row>
    <row r="219" spans="1:10" x14ac:dyDescent="0.2">
      <c r="A219">
        <v>3</v>
      </c>
      <c r="B219">
        <v>3</v>
      </c>
      <c r="C219">
        <v>17</v>
      </c>
      <c r="D219">
        <v>4.79</v>
      </c>
      <c r="E219">
        <v>6</v>
      </c>
      <c r="F219">
        <v>12</v>
      </c>
      <c r="G219">
        <f t="shared" si="6"/>
        <v>72</v>
      </c>
      <c r="H219">
        <f>VLOOKUP(A219,fruit_size!$A$2:$E$5,4,FALSE)</f>
        <v>0.34</v>
      </c>
      <c r="I219">
        <f>VLOOKUP(A219,fruit_size!$A$2:$E$5,5,FALSE)</f>
        <v>0.28999999999999998</v>
      </c>
      <c r="J219" s="4">
        <f t="shared" si="7"/>
        <v>-0.14705882352941188</v>
      </c>
    </row>
    <row r="220" spans="1:10" x14ac:dyDescent="0.2">
      <c r="A220">
        <v>3</v>
      </c>
      <c r="B220">
        <v>3</v>
      </c>
      <c r="C220">
        <v>18</v>
      </c>
      <c r="D220">
        <v>5.34</v>
      </c>
      <c r="E220">
        <v>6</v>
      </c>
      <c r="F220">
        <v>12</v>
      </c>
      <c r="G220">
        <f t="shared" si="6"/>
        <v>72</v>
      </c>
      <c r="H220">
        <f>VLOOKUP(A220,fruit_size!$A$2:$E$5,4,FALSE)</f>
        <v>0.34</v>
      </c>
      <c r="I220">
        <f>VLOOKUP(A220,fruit_size!$A$2:$E$5,5,FALSE)</f>
        <v>0.28999999999999998</v>
      </c>
      <c r="J220" s="4">
        <f t="shared" si="7"/>
        <v>-0.14705882352941188</v>
      </c>
    </row>
    <row r="221" spans="1:10" x14ac:dyDescent="0.2">
      <c r="A221">
        <v>3</v>
      </c>
      <c r="B221">
        <v>3</v>
      </c>
      <c r="C221">
        <v>19</v>
      </c>
      <c r="D221">
        <v>7.78</v>
      </c>
      <c r="E221">
        <v>6</v>
      </c>
      <c r="F221">
        <v>12</v>
      </c>
      <c r="G221">
        <f t="shared" si="6"/>
        <v>72</v>
      </c>
      <c r="H221">
        <f>VLOOKUP(A221,fruit_size!$A$2:$E$5,4,FALSE)</f>
        <v>0.34</v>
      </c>
      <c r="I221">
        <f>VLOOKUP(A221,fruit_size!$A$2:$E$5,5,FALSE)</f>
        <v>0.28999999999999998</v>
      </c>
      <c r="J221" s="4">
        <f t="shared" si="7"/>
        <v>-0.14705882352941188</v>
      </c>
    </row>
    <row r="222" spans="1:10" x14ac:dyDescent="0.2">
      <c r="A222">
        <v>3</v>
      </c>
      <c r="B222">
        <v>3</v>
      </c>
      <c r="C222">
        <v>20</v>
      </c>
      <c r="D222">
        <v>4.66</v>
      </c>
      <c r="E222">
        <v>6</v>
      </c>
      <c r="F222">
        <v>12</v>
      </c>
      <c r="G222">
        <f t="shared" si="6"/>
        <v>72</v>
      </c>
      <c r="H222">
        <f>VLOOKUP(A222,fruit_size!$A$2:$E$5,4,FALSE)</f>
        <v>0.34</v>
      </c>
      <c r="I222">
        <f>VLOOKUP(A222,fruit_size!$A$2:$E$5,5,FALSE)</f>
        <v>0.28999999999999998</v>
      </c>
      <c r="J222" s="4">
        <f t="shared" si="7"/>
        <v>-0.14705882352941188</v>
      </c>
    </row>
    <row r="223" spans="1:10" x14ac:dyDescent="0.2">
      <c r="A223">
        <v>3</v>
      </c>
      <c r="B223">
        <v>4</v>
      </c>
      <c r="C223">
        <v>1</v>
      </c>
      <c r="D223">
        <v>6.55</v>
      </c>
      <c r="E223">
        <v>6</v>
      </c>
      <c r="F223">
        <v>12</v>
      </c>
      <c r="G223">
        <f t="shared" si="6"/>
        <v>72</v>
      </c>
      <c r="H223">
        <f>VLOOKUP(A223,fruit_size!$A$2:$E$5,4,FALSE)</f>
        <v>0.34</v>
      </c>
      <c r="I223">
        <f>VLOOKUP(A223,fruit_size!$A$2:$E$5,5,FALSE)</f>
        <v>0.28999999999999998</v>
      </c>
      <c r="J223" s="4">
        <f t="shared" si="7"/>
        <v>-0.14705882352941188</v>
      </c>
    </row>
    <row r="224" spans="1:10" x14ac:dyDescent="0.2">
      <c r="A224">
        <v>3</v>
      </c>
      <c r="B224">
        <v>4</v>
      </c>
      <c r="C224">
        <v>2</v>
      </c>
      <c r="D224">
        <v>6.19</v>
      </c>
      <c r="E224">
        <v>6</v>
      </c>
      <c r="F224">
        <v>12</v>
      </c>
      <c r="G224">
        <f t="shared" si="6"/>
        <v>72</v>
      </c>
      <c r="H224">
        <f>VLOOKUP(A224,fruit_size!$A$2:$E$5,4,FALSE)</f>
        <v>0.34</v>
      </c>
      <c r="I224">
        <f>VLOOKUP(A224,fruit_size!$A$2:$E$5,5,FALSE)</f>
        <v>0.28999999999999998</v>
      </c>
      <c r="J224" s="4">
        <f t="shared" si="7"/>
        <v>-0.14705882352941188</v>
      </c>
    </row>
    <row r="225" spans="1:10" x14ac:dyDescent="0.2">
      <c r="A225">
        <v>3</v>
      </c>
      <c r="B225">
        <v>4</v>
      </c>
      <c r="C225">
        <v>3</v>
      </c>
      <c r="D225">
        <v>6.29</v>
      </c>
      <c r="E225">
        <v>6</v>
      </c>
      <c r="F225">
        <v>12</v>
      </c>
      <c r="G225">
        <f t="shared" si="6"/>
        <v>72</v>
      </c>
      <c r="H225">
        <f>VLOOKUP(A225,fruit_size!$A$2:$E$5,4,FALSE)</f>
        <v>0.34</v>
      </c>
      <c r="I225">
        <f>VLOOKUP(A225,fruit_size!$A$2:$E$5,5,FALSE)</f>
        <v>0.28999999999999998</v>
      </c>
      <c r="J225" s="4">
        <f t="shared" si="7"/>
        <v>-0.14705882352941188</v>
      </c>
    </row>
    <row r="226" spans="1:10" x14ac:dyDescent="0.2">
      <c r="A226">
        <v>3</v>
      </c>
      <c r="B226">
        <v>4</v>
      </c>
      <c r="C226">
        <v>4</v>
      </c>
      <c r="D226">
        <v>6.56</v>
      </c>
      <c r="E226">
        <v>6</v>
      </c>
      <c r="F226">
        <v>12</v>
      </c>
      <c r="G226">
        <f t="shared" si="6"/>
        <v>72</v>
      </c>
      <c r="H226">
        <f>VLOOKUP(A226,fruit_size!$A$2:$E$5,4,FALSE)</f>
        <v>0.34</v>
      </c>
      <c r="I226">
        <f>VLOOKUP(A226,fruit_size!$A$2:$E$5,5,FALSE)</f>
        <v>0.28999999999999998</v>
      </c>
      <c r="J226" s="4">
        <f t="shared" si="7"/>
        <v>-0.14705882352941188</v>
      </c>
    </row>
    <row r="227" spans="1:10" x14ac:dyDescent="0.2">
      <c r="A227">
        <v>3</v>
      </c>
      <c r="B227">
        <v>4</v>
      </c>
      <c r="C227">
        <v>5</v>
      </c>
      <c r="D227">
        <v>6.69</v>
      </c>
      <c r="E227">
        <v>6</v>
      </c>
      <c r="F227">
        <v>12</v>
      </c>
      <c r="G227">
        <f t="shared" si="6"/>
        <v>72</v>
      </c>
      <c r="H227">
        <f>VLOOKUP(A227,fruit_size!$A$2:$E$5,4,FALSE)</f>
        <v>0.34</v>
      </c>
      <c r="I227">
        <f>VLOOKUP(A227,fruit_size!$A$2:$E$5,5,FALSE)</f>
        <v>0.28999999999999998</v>
      </c>
      <c r="J227" s="4">
        <f t="shared" si="7"/>
        <v>-0.14705882352941188</v>
      </c>
    </row>
    <row r="228" spans="1:10" x14ac:dyDescent="0.2">
      <c r="A228">
        <v>3</v>
      </c>
      <c r="B228">
        <v>4</v>
      </c>
      <c r="C228">
        <v>6</v>
      </c>
      <c r="D228">
        <v>6.84</v>
      </c>
      <c r="E228">
        <v>6</v>
      </c>
      <c r="F228">
        <v>12</v>
      </c>
      <c r="G228">
        <f t="shared" si="6"/>
        <v>72</v>
      </c>
      <c r="H228">
        <f>VLOOKUP(A228,fruit_size!$A$2:$E$5,4,FALSE)</f>
        <v>0.34</v>
      </c>
      <c r="I228">
        <f>VLOOKUP(A228,fruit_size!$A$2:$E$5,5,FALSE)</f>
        <v>0.28999999999999998</v>
      </c>
      <c r="J228" s="4">
        <f t="shared" si="7"/>
        <v>-0.14705882352941188</v>
      </c>
    </row>
    <row r="229" spans="1:10" x14ac:dyDescent="0.2">
      <c r="A229">
        <v>3</v>
      </c>
      <c r="B229">
        <v>4</v>
      </c>
      <c r="C229">
        <v>7</v>
      </c>
      <c r="D229">
        <v>6.79</v>
      </c>
      <c r="E229">
        <v>6</v>
      </c>
      <c r="F229">
        <v>12</v>
      </c>
      <c r="G229">
        <f t="shared" si="6"/>
        <v>72</v>
      </c>
      <c r="H229">
        <f>VLOOKUP(A229,fruit_size!$A$2:$E$5,4,FALSE)</f>
        <v>0.34</v>
      </c>
      <c r="I229">
        <f>VLOOKUP(A229,fruit_size!$A$2:$E$5,5,FALSE)</f>
        <v>0.28999999999999998</v>
      </c>
      <c r="J229" s="4">
        <f t="shared" si="7"/>
        <v>-0.14705882352941188</v>
      </c>
    </row>
    <row r="230" spans="1:10" x14ac:dyDescent="0.2">
      <c r="A230">
        <v>3</v>
      </c>
      <c r="B230">
        <v>4</v>
      </c>
      <c r="C230">
        <v>8</v>
      </c>
      <c r="D230">
        <v>6.92</v>
      </c>
      <c r="E230">
        <v>6</v>
      </c>
      <c r="F230">
        <v>12</v>
      </c>
      <c r="G230">
        <f t="shared" si="6"/>
        <v>72</v>
      </c>
      <c r="H230">
        <f>VLOOKUP(A230,fruit_size!$A$2:$E$5,4,FALSE)</f>
        <v>0.34</v>
      </c>
      <c r="I230">
        <f>VLOOKUP(A230,fruit_size!$A$2:$E$5,5,FALSE)</f>
        <v>0.28999999999999998</v>
      </c>
      <c r="J230" s="4">
        <f t="shared" si="7"/>
        <v>-0.14705882352941188</v>
      </c>
    </row>
    <row r="231" spans="1:10" x14ac:dyDescent="0.2">
      <c r="A231">
        <v>3</v>
      </c>
      <c r="B231">
        <v>4</v>
      </c>
      <c r="C231">
        <v>9</v>
      </c>
      <c r="D231">
        <v>6.73</v>
      </c>
      <c r="E231">
        <v>6</v>
      </c>
      <c r="F231">
        <v>12</v>
      </c>
      <c r="G231">
        <f t="shared" si="6"/>
        <v>72</v>
      </c>
      <c r="H231">
        <f>VLOOKUP(A231,fruit_size!$A$2:$E$5,4,FALSE)</f>
        <v>0.34</v>
      </c>
      <c r="I231">
        <f>VLOOKUP(A231,fruit_size!$A$2:$E$5,5,FALSE)</f>
        <v>0.28999999999999998</v>
      </c>
      <c r="J231" s="4">
        <f t="shared" si="7"/>
        <v>-0.14705882352941188</v>
      </c>
    </row>
    <row r="232" spans="1:10" x14ac:dyDescent="0.2">
      <c r="A232">
        <v>3</v>
      </c>
      <c r="B232">
        <v>4</v>
      </c>
      <c r="C232">
        <v>10</v>
      </c>
      <c r="D232">
        <v>6.93</v>
      </c>
      <c r="E232">
        <v>6</v>
      </c>
      <c r="F232">
        <v>12</v>
      </c>
      <c r="G232">
        <f t="shared" si="6"/>
        <v>72</v>
      </c>
      <c r="H232">
        <f>VLOOKUP(A232,fruit_size!$A$2:$E$5,4,FALSE)</f>
        <v>0.34</v>
      </c>
      <c r="I232">
        <f>VLOOKUP(A232,fruit_size!$A$2:$E$5,5,FALSE)</f>
        <v>0.28999999999999998</v>
      </c>
      <c r="J232" s="4">
        <f t="shared" si="7"/>
        <v>-0.14705882352941188</v>
      </c>
    </row>
    <row r="233" spans="1:10" x14ac:dyDescent="0.2">
      <c r="A233">
        <v>3</v>
      </c>
      <c r="B233">
        <v>4</v>
      </c>
      <c r="C233">
        <v>11</v>
      </c>
      <c r="D233">
        <v>8.0399999999999991</v>
      </c>
      <c r="E233">
        <v>6</v>
      </c>
      <c r="F233">
        <v>12</v>
      </c>
      <c r="G233">
        <f t="shared" si="6"/>
        <v>72</v>
      </c>
      <c r="H233">
        <f>VLOOKUP(A233,fruit_size!$A$2:$E$5,4,FALSE)</f>
        <v>0.34</v>
      </c>
      <c r="I233">
        <f>VLOOKUP(A233,fruit_size!$A$2:$E$5,5,FALSE)</f>
        <v>0.28999999999999998</v>
      </c>
      <c r="J233" s="4">
        <f t="shared" si="7"/>
        <v>-0.14705882352941188</v>
      </c>
    </row>
    <row r="234" spans="1:10" x14ac:dyDescent="0.2">
      <c r="A234">
        <v>3</v>
      </c>
      <c r="B234">
        <v>4</v>
      </c>
      <c r="C234">
        <v>12</v>
      </c>
      <c r="D234">
        <v>7.1</v>
      </c>
      <c r="E234">
        <v>6</v>
      </c>
      <c r="F234">
        <v>12</v>
      </c>
      <c r="G234">
        <f t="shared" si="6"/>
        <v>72</v>
      </c>
      <c r="H234">
        <f>VLOOKUP(A234,fruit_size!$A$2:$E$5,4,FALSE)</f>
        <v>0.34</v>
      </c>
      <c r="I234">
        <f>VLOOKUP(A234,fruit_size!$A$2:$E$5,5,FALSE)</f>
        <v>0.28999999999999998</v>
      </c>
      <c r="J234" s="4">
        <f t="shared" si="7"/>
        <v>-0.14705882352941188</v>
      </c>
    </row>
    <row r="235" spans="1:10" x14ac:dyDescent="0.2">
      <c r="A235">
        <v>3</v>
      </c>
      <c r="B235">
        <v>4</v>
      </c>
      <c r="C235">
        <v>13</v>
      </c>
      <c r="D235">
        <v>7.01</v>
      </c>
      <c r="E235">
        <v>6</v>
      </c>
      <c r="F235">
        <v>12</v>
      </c>
      <c r="G235">
        <f t="shared" si="6"/>
        <v>72</v>
      </c>
      <c r="H235">
        <f>VLOOKUP(A235,fruit_size!$A$2:$E$5,4,FALSE)</f>
        <v>0.34</v>
      </c>
      <c r="I235">
        <f>VLOOKUP(A235,fruit_size!$A$2:$E$5,5,FALSE)</f>
        <v>0.28999999999999998</v>
      </c>
      <c r="J235" s="4">
        <f t="shared" si="7"/>
        <v>-0.14705882352941188</v>
      </c>
    </row>
    <row r="236" spans="1:10" x14ac:dyDescent="0.2">
      <c r="A236">
        <v>3</v>
      </c>
      <c r="B236">
        <v>4</v>
      </c>
      <c r="C236">
        <v>14</v>
      </c>
      <c r="D236">
        <v>5.58</v>
      </c>
      <c r="E236">
        <v>6</v>
      </c>
      <c r="F236">
        <v>12</v>
      </c>
      <c r="G236">
        <f t="shared" si="6"/>
        <v>72</v>
      </c>
      <c r="H236">
        <f>VLOOKUP(A236,fruit_size!$A$2:$E$5,4,FALSE)</f>
        <v>0.34</v>
      </c>
      <c r="I236">
        <f>VLOOKUP(A236,fruit_size!$A$2:$E$5,5,FALSE)</f>
        <v>0.28999999999999998</v>
      </c>
      <c r="J236" s="4">
        <f t="shared" si="7"/>
        <v>-0.14705882352941188</v>
      </c>
    </row>
    <row r="237" spans="1:10" x14ac:dyDescent="0.2">
      <c r="A237">
        <v>3</v>
      </c>
      <c r="B237">
        <v>4</v>
      </c>
      <c r="C237">
        <v>15</v>
      </c>
      <c r="D237">
        <v>5.46</v>
      </c>
      <c r="E237">
        <v>6</v>
      </c>
      <c r="F237">
        <v>12</v>
      </c>
      <c r="G237">
        <f t="shared" si="6"/>
        <v>72</v>
      </c>
      <c r="H237">
        <f>VLOOKUP(A237,fruit_size!$A$2:$E$5,4,FALSE)</f>
        <v>0.34</v>
      </c>
      <c r="I237">
        <f>VLOOKUP(A237,fruit_size!$A$2:$E$5,5,FALSE)</f>
        <v>0.28999999999999998</v>
      </c>
      <c r="J237" s="4">
        <f t="shared" si="7"/>
        <v>-0.14705882352941188</v>
      </c>
    </row>
    <row r="238" spans="1:10" x14ac:dyDescent="0.2">
      <c r="A238">
        <v>3</v>
      </c>
      <c r="B238">
        <v>4</v>
      </c>
      <c r="C238">
        <v>16</v>
      </c>
      <c r="D238">
        <v>5.48</v>
      </c>
      <c r="E238">
        <v>6</v>
      </c>
      <c r="F238">
        <v>12</v>
      </c>
      <c r="G238">
        <f t="shared" si="6"/>
        <v>72</v>
      </c>
      <c r="H238">
        <f>VLOOKUP(A238,fruit_size!$A$2:$E$5,4,FALSE)</f>
        <v>0.34</v>
      </c>
      <c r="I238">
        <f>VLOOKUP(A238,fruit_size!$A$2:$E$5,5,FALSE)</f>
        <v>0.28999999999999998</v>
      </c>
      <c r="J238" s="4">
        <f t="shared" si="7"/>
        <v>-0.14705882352941188</v>
      </c>
    </row>
    <row r="239" spans="1:10" x14ac:dyDescent="0.2">
      <c r="A239">
        <v>3</v>
      </c>
      <c r="B239">
        <v>4</v>
      </c>
      <c r="C239">
        <v>17</v>
      </c>
      <c r="D239">
        <v>5.67</v>
      </c>
      <c r="E239">
        <v>6</v>
      </c>
      <c r="F239">
        <v>12</v>
      </c>
      <c r="G239">
        <f t="shared" si="6"/>
        <v>72</v>
      </c>
      <c r="H239">
        <f>VLOOKUP(A239,fruit_size!$A$2:$E$5,4,FALSE)</f>
        <v>0.34</v>
      </c>
      <c r="I239">
        <f>VLOOKUP(A239,fruit_size!$A$2:$E$5,5,FALSE)</f>
        <v>0.28999999999999998</v>
      </c>
      <c r="J239" s="4">
        <f t="shared" si="7"/>
        <v>-0.14705882352941188</v>
      </c>
    </row>
    <row r="240" spans="1:10" x14ac:dyDescent="0.2">
      <c r="A240">
        <v>3</v>
      </c>
      <c r="B240">
        <v>4</v>
      </c>
      <c r="C240">
        <v>18</v>
      </c>
      <c r="D240">
        <v>5.05</v>
      </c>
      <c r="E240">
        <v>6</v>
      </c>
      <c r="F240">
        <v>12</v>
      </c>
      <c r="G240">
        <f t="shared" si="6"/>
        <v>72</v>
      </c>
      <c r="H240">
        <f>VLOOKUP(A240,fruit_size!$A$2:$E$5,4,FALSE)</f>
        <v>0.34</v>
      </c>
      <c r="I240">
        <f>VLOOKUP(A240,fruit_size!$A$2:$E$5,5,FALSE)</f>
        <v>0.28999999999999998</v>
      </c>
      <c r="J240" s="4">
        <f t="shared" si="7"/>
        <v>-0.14705882352941188</v>
      </c>
    </row>
    <row r="241" spans="1:10" x14ac:dyDescent="0.2">
      <c r="A241">
        <v>3</v>
      </c>
      <c r="B241">
        <v>4</v>
      </c>
      <c r="C241">
        <v>19</v>
      </c>
      <c r="D241">
        <v>6.42</v>
      </c>
      <c r="E241">
        <v>6</v>
      </c>
      <c r="F241">
        <v>12</v>
      </c>
      <c r="G241">
        <f t="shared" si="6"/>
        <v>72</v>
      </c>
      <c r="H241">
        <f>VLOOKUP(A241,fruit_size!$A$2:$E$5,4,FALSE)</f>
        <v>0.34</v>
      </c>
      <c r="I241">
        <f>VLOOKUP(A241,fruit_size!$A$2:$E$5,5,FALSE)</f>
        <v>0.28999999999999998</v>
      </c>
      <c r="J241" s="4">
        <f t="shared" si="7"/>
        <v>-0.14705882352941188</v>
      </c>
    </row>
    <row r="242" spans="1:10" x14ac:dyDescent="0.2">
      <c r="A242">
        <v>3</v>
      </c>
      <c r="B242">
        <v>4</v>
      </c>
      <c r="C242">
        <v>20</v>
      </c>
      <c r="D242">
        <v>5.94</v>
      </c>
      <c r="E242">
        <v>6</v>
      </c>
      <c r="F242">
        <v>12</v>
      </c>
      <c r="G242">
        <f t="shared" si="6"/>
        <v>72</v>
      </c>
      <c r="H242">
        <f>VLOOKUP(A242,fruit_size!$A$2:$E$5,4,FALSE)</f>
        <v>0.34</v>
      </c>
      <c r="I242">
        <f>VLOOKUP(A242,fruit_size!$A$2:$E$5,5,FALSE)</f>
        <v>0.28999999999999998</v>
      </c>
      <c r="J242" s="4">
        <f t="shared" si="7"/>
        <v>-0.14705882352941188</v>
      </c>
    </row>
    <row r="243" spans="1:10" x14ac:dyDescent="0.2">
      <c r="A243">
        <v>4</v>
      </c>
      <c r="B243">
        <v>1</v>
      </c>
      <c r="C243">
        <v>1</v>
      </c>
      <c r="D243">
        <v>4.6500000000000004</v>
      </c>
      <c r="E243">
        <v>8</v>
      </c>
      <c r="F243">
        <v>12</v>
      </c>
      <c r="G243">
        <f t="shared" si="6"/>
        <v>96</v>
      </c>
      <c r="H243">
        <f>VLOOKUP(A243,fruit_size!$A$2:$E$5,4,FALSE)</f>
        <v>0.3</v>
      </c>
      <c r="I243">
        <f>VLOOKUP(A243,fruit_size!$A$2:$E$5,5,FALSE)</f>
        <v>0.28000000000000003</v>
      </c>
      <c r="J243" s="4">
        <f t="shared" si="7"/>
        <v>-6.6666666666666541E-2</v>
      </c>
    </row>
    <row r="244" spans="1:10" x14ac:dyDescent="0.2">
      <c r="A244">
        <v>4</v>
      </c>
      <c r="B244">
        <v>1</v>
      </c>
      <c r="C244">
        <v>2</v>
      </c>
      <c r="D244">
        <v>5.48</v>
      </c>
      <c r="E244">
        <v>8</v>
      </c>
      <c r="F244">
        <v>12</v>
      </c>
      <c r="G244">
        <f t="shared" si="6"/>
        <v>96</v>
      </c>
      <c r="H244">
        <f>VLOOKUP(A244,fruit_size!$A$2:$E$5,4,FALSE)</f>
        <v>0.3</v>
      </c>
      <c r="I244">
        <f>VLOOKUP(A244,fruit_size!$A$2:$E$5,5,FALSE)</f>
        <v>0.28000000000000003</v>
      </c>
      <c r="J244" s="4">
        <f t="shared" si="7"/>
        <v>-6.6666666666666541E-2</v>
      </c>
    </row>
    <row r="245" spans="1:10" x14ac:dyDescent="0.2">
      <c r="A245">
        <v>4</v>
      </c>
      <c r="B245">
        <v>1</v>
      </c>
      <c r="C245">
        <v>3</v>
      </c>
      <c r="D245">
        <v>5.4</v>
      </c>
      <c r="E245">
        <v>8</v>
      </c>
      <c r="F245">
        <v>12</v>
      </c>
      <c r="G245">
        <f t="shared" si="6"/>
        <v>96</v>
      </c>
      <c r="H245">
        <f>VLOOKUP(A245,fruit_size!$A$2:$E$5,4,FALSE)</f>
        <v>0.3</v>
      </c>
      <c r="I245">
        <f>VLOOKUP(A245,fruit_size!$A$2:$E$5,5,FALSE)</f>
        <v>0.28000000000000003</v>
      </c>
      <c r="J245" s="4">
        <f t="shared" si="7"/>
        <v>-6.6666666666666541E-2</v>
      </c>
    </row>
    <row r="246" spans="1:10" x14ac:dyDescent="0.2">
      <c r="A246">
        <v>4</v>
      </c>
      <c r="B246">
        <v>1</v>
      </c>
      <c r="C246">
        <v>4</v>
      </c>
      <c r="D246">
        <v>5.08</v>
      </c>
      <c r="E246">
        <v>8</v>
      </c>
      <c r="F246">
        <v>12</v>
      </c>
      <c r="G246">
        <f t="shared" si="6"/>
        <v>96</v>
      </c>
      <c r="H246">
        <f>VLOOKUP(A246,fruit_size!$A$2:$E$5,4,FALSE)</f>
        <v>0.3</v>
      </c>
      <c r="I246">
        <f>VLOOKUP(A246,fruit_size!$A$2:$E$5,5,FALSE)</f>
        <v>0.28000000000000003</v>
      </c>
      <c r="J246" s="4">
        <f t="shared" si="7"/>
        <v>-6.6666666666666541E-2</v>
      </c>
    </row>
    <row r="247" spans="1:10" x14ac:dyDescent="0.2">
      <c r="A247">
        <v>4</v>
      </c>
      <c r="B247">
        <v>1</v>
      </c>
      <c r="C247">
        <v>5</v>
      </c>
      <c r="D247">
        <v>5.47</v>
      </c>
      <c r="E247">
        <v>8</v>
      </c>
      <c r="F247">
        <v>12</v>
      </c>
      <c r="G247">
        <f t="shared" si="6"/>
        <v>96</v>
      </c>
      <c r="H247">
        <f>VLOOKUP(A247,fruit_size!$A$2:$E$5,4,FALSE)</f>
        <v>0.3</v>
      </c>
      <c r="I247">
        <f>VLOOKUP(A247,fruit_size!$A$2:$E$5,5,FALSE)</f>
        <v>0.28000000000000003</v>
      </c>
      <c r="J247" s="4">
        <f t="shared" si="7"/>
        <v>-6.6666666666666541E-2</v>
      </c>
    </row>
    <row r="248" spans="1:10" x14ac:dyDescent="0.2">
      <c r="A248">
        <v>4</v>
      </c>
      <c r="B248">
        <v>1</v>
      </c>
      <c r="C248">
        <v>6</v>
      </c>
      <c r="D248">
        <v>5.09</v>
      </c>
      <c r="E248">
        <v>8</v>
      </c>
      <c r="F248">
        <v>12</v>
      </c>
      <c r="G248">
        <f t="shared" si="6"/>
        <v>96</v>
      </c>
      <c r="H248">
        <f>VLOOKUP(A248,fruit_size!$A$2:$E$5,4,FALSE)</f>
        <v>0.3</v>
      </c>
      <c r="I248">
        <f>VLOOKUP(A248,fruit_size!$A$2:$E$5,5,FALSE)</f>
        <v>0.28000000000000003</v>
      </c>
      <c r="J248" s="4">
        <f t="shared" si="7"/>
        <v>-6.6666666666666541E-2</v>
      </c>
    </row>
    <row r="249" spans="1:10" x14ac:dyDescent="0.2">
      <c r="A249">
        <v>4</v>
      </c>
      <c r="B249">
        <v>1</v>
      </c>
      <c r="C249">
        <v>7</v>
      </c>
      <c r="D249">
        <v>5.59</v>
      </c>
      <c r="E249">
        <v>8</v>
      </c>
      <c r="F249">
        <v>12</v>
      </c>
      <c r="G249">
        <f t="shared" si="6"/>
        <v>96</v>
      </c>
      <c r="H249">
        <f>VLOOKUP(A249,fruit_size!$A$2:$E$5,4,FALSE)</f>
        <v>0.3</v>
      </c>
      <c r="I249">
        <f>VLOOKUP(A249,fruit_size!$A$2:$E$5,5,FALSE)</f>
        <v>0.28000000000000003</v>
      </c>
      <c r="J249" s="4">
        <f t="shared" si="7"/>
        <v>-6.6666666666666541E-2</v>
      </c>
    </row>
    <row r="250" spans="1:10" x14ac:dyDescent="0.2">
      <c r="A250">
        <v>4</v>
      </c>
      <c r="B250">
        <v>1</v>
      </c>
      <c r="C250">
        <v>8</v>
      </c>
      <c r="D250">
        <v>5.53</v>
      </c>
      <c r="E250">
        <v>8</v>
      </c>
      <c r="F250">
        <v>12</v>
      </c>
      <c r="G250">
        <f t="shared" si="6"/>
        <v>96</v>
      </c>
      <c r="H250">
        <f>VLOOKUP(A250,fruit_size!$A$2:$E$5,4,FALSE)</f>
        <v>0.3</v>
      </c>
      <c r="I250">
        <f>VLOOKUP(A250,fruit_size!$A$2:$E$5,5,FALSE)</f>
        <v>0.28000000000000003</v>
      </c>
      <c r="J250" s="4">
        <f t="shared" si="7"/>
        <v>-6.6666666666666541E-2</v>
      </c>
    </row>
    <row r="251" spans="1:10" x14ac:dyDescent="0.2">
      <c r="A251">
        <v>4</v>
      </c>
      <c r="B251">
        <v>1</v>
      </c>
      <c r="C251">
        <v>9</v>
      </c>
      <c r="D251">
        <v>5.59</v>
      </c>
      <c r="E251">
        <v>8</v>
      </c>
      <c r="F251">
        <v>12</v>
      </c>
      <c r="G251">
        <f t="shared" si="6"/>
        <v>96</v>
      </c>
      <c r="H251">
        <f>VLOOKUP(A251,fruit_size!$A$2:$E$5,4,FALSE)</f>
        <v>0.3</v>
      </c>
      <c r="I251">
        <f>VLOOKUP(A251,fruit_size!$A$2:$E$5,5,FALSE)</f>
        <v>0.28000000000000003</v>
      </c>
      <c r="J251" s="4">
        <f t="shared" si="7"/>
        <v>-6.6666666666666541E-2</v>
      </c>
    </row>
    <row r="252" spans="1:10" x14ac:dyDescent="0.2">
      <c r="A252">
        <v>4</v>
      </c>
      <c r="B252">
        <v>1</v>
      </c>
      <c r="C252">
        <v>10</v>
      </c>
      <c r="D252">
        <v>5.6</v>
      </c>
      <c r="E252">
        <v>8</v>
      </c>
      <c r="F252">
        <v>12</v>
      </c>
      <c r="G252">
        <f t="shared" si="6"/>
        <v>96</v>
      </c>
      <c r="H252">
        <f>VLOOKUP(A252,fruit_size!$A$2:$E$5,4,FALSE)</f>
        <v>0.3</v>
      </c>
      <c r="I252">
        <f>VLOOKUP(A252,fruit_size!$A$2:$E$5,5,FALSE)</f>
        <v>0.28000000000000003</v>
      </c>
      <c r="J252" s="4">
        <f t="shared" si="7"/>
        <v>-6.6666666666666541E-2</v>
      </c>
    </row>
    <row r="253" spans="1:10" x14ac:dyDescent="0.2">
      <c r="A253">
        <v>4</v>
      </c>
      <c r="B253">
        <v>1</v>
      </c>
      <c r="C253">
        <v>11</v>
      </c>
      <c r="D253">
        <v>6.19</v>
      </c>
      <c r="E253">
        <v>8</v>
      </c>
      <c r="F253">
        <v>12</v>
      </c>
      <c r="G253">
        <f t="shared" si="6"/>
        <v>96</v>
      </c>
      <c r="H253">
        <f>VLOOKUP(A253,fruit_size!$A$2:$E$5,4,FALSE)</f>
        <v>0.3</v>
      </c>
      <c r="I253">
        <f>VLOOKUP(A253,fruit_size!$A$2:$E$5,5,FALSE)</f>
        <v>0.28000000000000003</v>
      </c>
      <c r="J253" s="4">
        <f t="shared" si="7"/>
        <v>-6.6666666666666541E-2</v>
      </c>
    </row>
    <row r="254" spans="1:10" x14ac:dyDescent="0.2">
      <c r="A254">
        <v>4</v>
      </c>
      <c r="B254">
        <v>1</v>
      </c>
      <c r="C254">
        <v>12</v>
      </c>
      <c r="D254">
        <v>5.3</v>
      </c>
      <c r="E254">
        <v>8</v>
      </c>
      <c r="F254">
        <v>12</v>
      </c>
      <c r="G254">
        <f t="shared" si="6"/>
        <v>96</v>
      </c>
      <c r="H254">
        <f>VLOOKUP(A254,fruit_size!$A$2:$E$5,4,FALSE)</f>
        <v>0.3</v>
      </c>
      <c r="I254">
        <f>VLOOKUP(A254,fruit_size!$A$2:$E$5,5,FALSE)</f>
        <v>0.28000000000000003</v>
      </c>
      <c r="J254" s="4">
        <f t="shared" si="7"/>
        <v>-6.6666666666666541E-2</v>
      </c>
    </row>
    <row r="255" spans="1:10" x14ac:dyDescent="0.2">
      <c r="A255">
        <v>4</v>
      </c>
      <c r="B255">
        <v>1</v>
      </c>
      <c r="C255">
        <v>13</v>
      </c>
      <c r="D255">
        <v>4.63</v>
      </c>
      <c r="E255">
        <v>8</v>
      </c>
      <c r="F255">
        <v>12</v>
      </c>
      <c r="G255">
        <f t="shared" si="6"/>
        <v>96</v>
      </c>
      <c r="H255">
        <f>VLOOKUP(A255,fruit_size!$A$2:$E$5,4,FALSE)</f>
        <v>0.3</v>
      </c>
      <c r="I255">
        <f>VLOOKUP(A255,fruit_size!$A$2:$E$5,5,FALSE)</f>
        <v>0.28000000000000003</v>
      </c>
      <c r="J255" s="4">
        <f t="shared" si="7"/>
        <v>-6.6666666666666541E-2</v>
      </c>
    </row>
    <row r="256" spans="1:10" x14ac:dyDescent="0.2">
      <c r="A256">
        <v>4</v>
      </c>
      <c r="B256">
        <v>1</v>
      </c>
      <c r="C256">
        <v>14</v>
      </c>
      <c r="D256">
        <v>3.89</v>
      </c>
      <c r="E256">
        <v>8</v>
      </c>
      <c r="F256">
        <v>12</v>
      </c>
      <c r="G256">
        <f t="shared" si="6"/>
        <v>96</v>
      </c>
      <c r="H256">
        <f>VLOOKUP(A256,fruit_size!$A$2:$E$5,4,FALSE)</f>
        <v>0.3</v>
      </c>
      <c r="I256">
        <f>VLOOKUP(A256,fruit_size!$A$2:$E$5,5,FALSE)</f>
        <v>0.28000000000000003</v>
      </c>
      <c r="J256" s="4">
        <f t="shared" si="7"/>
        <v>-6.6666666666666541E-2</v>
      </c>
    </row>
    <row r="257" spans="1:10" x14ac:dyDescent="0.2">
      <c r="A257">
        <v>4</v>
      </c>
      <c r="B257">
        <v>1</v>
      </c>
      <c r="C257">
        <v>15</v>
      </c>
      <c r="D257">
        <v>4.1900000000000004</v>
      </c>
      <c r="E257">
        <v>8</v>
      </c>
      <c r="F257">
        <v>12</v>
      </c>
      <c r="G257">
        <f t="shared" si="6"/>
        <v>96</v>
      </c>
      <c r="H257">
        <f>VLOOKUP(A257,fruit_size!$A$2:$E$5,4,FALSE)</f>
        <v>0.3</v>
      </c>
      <c r="I257">
        <f>VLOOKUP(A257,fruit_size!$A$2:$E$5,5,FALSE)</f>
        <v>0.28000000000000003</v>
      </c>
      <c r="J257" s="4">
        <f t="shared" si="7"/>
        <v>-6.6666666666666541E-2</v>
      </c>
    </row>
    <row r="258" spans="1:10" x14ac:dyDescent="0.2">
      <c r="A258">
        <v>4</v>
      </c>
      <c r="B258">
        <v>1</v>
      </c>
      <c r="C258">
        <v>16</v>
      </c>
      <c r="D258">
        <v>3.38</v>
      </c>
      <c r="E258">
        <v>8</v>
      </c>
      <c r="F258">
        <v>12</v>
      </c>
      <c r="G258">
        <f t="shared" si="6"/>
        <v>96</v>
      </c>
      <c r="H258">
        <f>VLOOKUP(A258,fruit_size!$A$2:$E$5,4,FALSE)</f>
        <v>0.3</v>
      </c>
      <c r="I258">
        <f>VLOOKUP(A258,fruit_size!$A$2:$E$5,5,FALSE)</f>
        <v>0.28000000000000003</v>
      </c>
      <c r="J258" s="4">
        <f t="shared" si="7"/>
        <v>-6.6666666666666541E-2</v>
      </c>
    </row>
    <row r="259" spans="1:10" x14ac:dyDescent="0.2">
      <c r="A259">
        <v>4</v>
      </c>
      <c r="B259">
        <v>1</v>
      </c>
      <c r="C259">
        <v>17</v>
      </c>
      <c r="D259">
        <v>4.3899999999999997</v>
      </c>
      <c r="E259">
        <v>8</v>
      </c>
      <c r="F259">
        <v>12</v>
      </c>
      <c r="G259">
        <f t="shared" si="6"/>
        <v>96</v>
      </c>
      <c r="H259">
        <f>VLOOKUP(A259,fruit_size!$A$2:$E$5,4,FALSE)</f>
        <v>0.3</v>
      </c>
      <c r="I259">
        <f>VLOOKUP(A259,fruit_size!$A$2:$E$5,5,FALSE)</f>
        <v>0.28000000000000003</v>
      </c>
      <c r="J259" s="4">
        <f t="shared" si="7"/>
        <v>-6.6666666666666541E-2</v>
      </c>
    </row>
    <row r="260" spans="1:10" x14ac:dyDescent="0.2">
      <c r="A260">
        <v>4</v>
      </c>
      <c r="B260">
        <v>1</v>
      </c>
      <c r="C260">
        <v>18</v>
      </c>
      <c r="D260">
        <v>4.37</v>
      </c>
      <c r="E260">
        <v>8</v>
      </c>
      <c r="F260">
        <v>12</v>
      </c>
      <c r="G260">
        <f t="shared" ref="G260:G322" si="8">E260*F260</f>
        <v>96</v>
      </c>
      <c r="H260">
        <f>VLOOKUP(A260,fruit_size!$A$2:$E$5,4,FALSE)</f>
        <v>0.3</v>
      </c>
      <c r="I260">
        <f>VLOOKUP(A260,fruit_size!$A$2:$E$5,5,FALSE)</f>
        <v>0.28000000000000003</v>
      </c>
      <c r="J260" s="4">
        <f t="shared" ref="J260:J322" si="9">(I260-H260)/H260</f>
        <v>-6.6666666666666541E-2</v>
      </c>
    </row>
    <row r="261" spans="1:10" x14ac:dyDescent="0.2">
      <c r="A261">
        <v>4</v>
      </c>
      <c r="B261">
        <v>1</v>
      </c>
      <c r="C261">
        <v>19</v>
      </c>
      <c r="D261">
        <v>4.58</v>
      </c>
      <c r="E261">
        <v>8</v>
      </c>
      <c r="F261">
        <v>12</v>
      </c>
      <c r="G261">
        <f t="shared" si="8"/>
        <v>96</v>
      </c>
      <c r="H261">
        <f>VLOOKUP(A261,fruit_size!$A$2:$E$5,4,FALSE)</f>
        <v>0.3</v>
      </c>
      <c r="I261">
        <f>VLOOKUP(A261,fruit_size!$A$2:$E$5,5,FALSE)</f>
        <v>0.28000000000000003</v>
      </c>
      <c r="J261" s="4">
        <f t="shared" si="9"/>
        <v>-6.6666666666666541E-2</v>
      </c>
    </row>
    <row r="262" spans="1:10" x14ac:dyDescent="0.2">
      <c r="A262">
        <v>4</v>
      </c>
      <c r="B262">
        <v>1</v>
      </c>
      <c r="C262">
        <v>20</v>
      </c>
      <c r="D262">
        <v>4.53</v>
      </c>
      <c r="E262">
        <v>8</v>
      </c>
      <c r="F262">
        <v>12</v>
      </c>
      <c r="G262">
        <f t="shared" si="8"/>
        <v>96</v>
      </c>
      <c r="H262">
        <f>VLOOKUP(A262,fruit_size!$A$2:$E$5,4,FALSE)</f>
        <v>0.3</v>
      </c>
      <c r="I262">
        <f>VLOOKUP(A262,fruit_size!$A$2:$E$5,5,FALSE)</f>
        <v>0.28000000000000003</v>
      </c>
      <c r="J262" s="4">
        <f t="shared" si="9"/>
        <v>-6.6666666666666541E-2</v>
      </c>
    </row>
    <row r="263" spans="1:10" x14ac:dyDescent="0.2">
      <c r="A263">
        <v>4</v>
      </c>
      <c r="B263">
        <v>2</v>
      </c>
      <c r="C263">
        <v>1</v>
      </c>
      <c r="D263">
        <v>3.49</v>
      </c>
      <c r="E263">
        <v>8</v>
      </c>
      <c r="F263">
        <v>12</v>
      </c>
      <c r="G263">
        <f t="shared" si="8"/>
        <v>96</v>
      </c>
      <c r="H263">
        <f>VLOOKUP(A263,fruit_size!$A$2:$E$5,4,FALSE)</f>
        <v>0.3</v>
      </c>
      <c r="I263">
        <f>VLOOKUP(A263,fruit_size!$A$2:$E$5,5,FALSE)</f>
        <v>0.28000000000000003</v>
      </c>
      <c r="J263" s="4">
        <f t="shared" si="9"/>
        <v>-6.6666666666666541E-2</v>
      </c>
    </row>
    <row r="264" spans="1:10" x14ac:dyDescent="0.2">
      <c r="A264">
        <v>4</v>
      </c>
      <c r="B264">
        <v>2</v>
      </c>
      <c r="C264">
        <v>2</v>
      </c>
      <c r="D264">
        <v>3.05</v>
      </c>
      <c r="E264">
        <v>8</v>
      </c>
      <c r="F264">
        <v>12</v>
      </c>
      <c r="G264">
        <f t="shared" si="8"/>
        <v>96</v>
      </c>
      <c r="H264">
        <f>VLOOKUP(A264,fruit_size!$A$2:$E$5,4,FALSE)</f>
        <v>0.3</v>
      </c>
      <c r="I264">
        <f>VLOOKUP(A264,fruit_size!$A$2:$E$5,5,FALSE)</f>
        <v>0.28000000000000003</v>
      </c>
      <c r="J264" s="4">
        <f t="shared" si="9"/>
        <v>-6.6666666666666541E-2</v>
      </c>
    </row>
    <row r="265" spans="1:10" x14ac:dyDescent="0.2">
      <c r="A265">
        <v>4</v>
      </c>
      <c r="B265">
        <v>2</v>
      </c>
      <c r="C265">
        <v>3</v>
      </c>
      <c r="D265">
        <v>3.09</v>
      </c>
      <c r="E265">
        <v>8</v>
      </c>
      <c r="F265">
        <v>12</v>
      </c>
      <c r="G265">
        <f t="shared" si="8"/>
        <v>96</v>
      </c>
      <c r="H265">
        <f>VLOOKUP(A265,fruit_size!$A$2:$E$5,4,FALSE)</f>
        <v>0.3</v>
      </c>
      <c r="I265">
        <f>VLOOKUP(A265,fruit_size!$A$2:$E$5,5,FALSE)</f>
        <v>0.28000000000000003</v>
      </c>
      <c r="J265" s="4">
        <f t="shared" si="9"/>
        <v>-6.6666666666666541E-2</v>
      </c>
    </row>
    <row r="266" spans="1:10" x14ac:dyDescent="0.2">
      <c r="A266">
        <v>4</v>
      </c>
      <c r="B266">
        <v>2</v>
      </c>
      <c r="C266">
        <v>4</v>
      </c>
      <c r="D266">
        <v>3.37</v>
      </c>
      <c r="E266">
        <v>8</v>
      </c>
      <c r="F266">
        <v>12</v>
      </c>
      <c r="G266">
        <f t="shared" si="8"/>
        <v>96</v>
      </c>
      <c r="H266">
        <f>VLOOKUP(A266,fruit_size!$A$2:$E$5,4,FALSE)</f>
        <v>0.3</v>
      </c>
      <c r="I266">
        <f>VLOOKUP(A266,fruit_size!$A$2:$E$5,5,FALSE)</f>
        <v>0.28000000000000003</v>
      </c>
      <c r="J266" s="4">
        <f t="shared" si="9"/>
        <v>-6.6666666666666541E-2</v>
      </c>
    </row>
    <row r="267" spans="1:10" x14ac:dyDescent="0.2">
      <c r="A267">
        <v>4</v>
      </c>
      <c r="B267">
        <v>2</v>
      </c>
      <c r="C267">
        <v>5</v>
      </c>
      <c r="D267">
        <v>3.1</v>
      </c>
      <c r="E267">
        <v>8</v>
      </c>
      <c r="F267">
        <v>12</v>
      </c>
      <c r="G267">
        <f t="shared" si="8"/>
        <v>96</v>
      </c>
      <c r="H267">
        <f>VLOOKUP(A267,fruit_size!$A$2:$E$5,4,FALSE)</f>
        <v>0.3</v>
      </c>
      <c r="I267">
        <f>VLOOKUP(A267,fruit_size!$A$2:$E$5,5,FALSE)</f>
        <v>0.28000000000000003</v>
      </c>
      <c r="J267" s="4">
        <f t="shared" si="9"/>
        <v>-6.6666666666666541E-2</v>
      </c>
    </row>
    <row r="268" spans="1:10" x14ac:dyDescent="0.2">
      <c r="A268">
        <v>4</v>
      </c>
      <c r="B268">
        <v>2</v>
      </c>
      <c r="C268">
        <v>6</v>
      </c>
      <c r="D268">
        <v>3.05</v>
      </c>
      <c r="E268">
        <v>8</v>
      </c>
      <c r="F268">
        <v>12</v>
      </c>
      <c r="G268">
        <f t="shared" si="8"/>
        <v>96</v>
      </c>
      <c r="H268">
        <f>VLOOKUP(A268,fruit_size!$A$2:$E$5,4,FALSE)</f>
        <v>0.3</v>
      </c>
      <c r="I268">
        <f>VLOOKUP(A268,fruit_size!$A$2:$E$5,5,FALSE)</f>
        <v>0.28000000000000003</v>
      </c>
      <c r="J268" s="4">
        <f t="shared" si="9"/>
        <v>-6.6666666666666541E-2</v>
      </c>
    </row>
    <row r="269" spans="1:10" x14ac:dyDescent="0.2">
      <c r="A269">
        <v>4</v>
      </c>
      <c r="B269">
        <v>2</v>
      </c>
      <c r="C269">
        <v>7</v>
      </c>
      <c r="D269">
        <v>4.16</v>
      </c>
      <c r="E269">
        <v>8</v>
      </c>
      <c r="F269">
        <v>12</v>
      </c>
      <c r="G269">
        <f t="shared" si="8"/>
        <v>96</v>
      </c>
      <c r="H269">
        <f>VLOOKUP(A269,fruit_size!$A$2:$E$5,4,FALSE)</f>
        <v>0.3</v>
      </c>
      <c r="I269">
        <f>VLOOKUP(A269,fruit_size!$A$2:$E$5,5,FALSE)</f>
        <v>0.28000000000000003</v>
      </c>
      <c r="J269" s="4">
        <f t="shared" si="9"/>
        <v>-6.6666666666666541E-2</v>
      </c>
    </row>
    <row r="270" spans="1:10" x14ac:dyDescent="0.2">
      <c r="A270">
        <v>4</v>
      </c>
      <c r="B270">
        <v>2</v>
      </c>
      <c r="C270">
        <v>8</v>
      </c>
      <c r="D270">
        <v>4.0599999999999996</v>
      </c>
      <c r="E270">
        <v>8</v>
      </c>
      <c r="F270">
        <v>12</v>
      </c>
      <c r="G270">
        <f t="shared" si="8"/>
        <v>96</v>
      </c>
      <c r="H270">
        <f>VLOOKUP(A270,fruit_size!$A$2:$E$5,4,FALSE)</f>
        <v>0.3</v>
      </c>
      <c r="I270">
        <f>VLOOKUP(A270,fruit_size!$A$2:$E$5,5,FALSE)</f>
        <v>0.28000000000000003</v>
      </c>
      <c r="J270" s="4">
        <f t="shared" si="9"/>
        <v>-6.6666666666666541E-2</v>
      </c>
    </row>
    <row r="271" spans="1:10" x14ac:dyDescent="0.2">
      <c r="A271">
        <v>4</v>
      </c>
      <c r="B271">
        <v>2</v>
      </c>
      <c r="C271">
        <v>9</v>
      </c>
      <c r="D271">
        <v>4.46</v>
      </c>
      <c r="E271">
        <v>8</v>
      </c>
      <c r="F271">
        <v>12</v>
      </c>
      <c r="G271">
        <f t="shared" si="8"/>
        <v>96</v>
      </c>
      <c r="H271">
        <f>VLOOKUP(A271,fruit_size!$A$2:$E$5,4,FALSE)</f>
        <v>0.3</v>
      </c>
      <c r="I271">
        <f>VLOOKUP(A271,fruit_size!$A$2:$E$5,5,FALSE)</f>
        <v>0.28000000000000003</v>
      </c>
      <c r="J271" s="4">
        <f t="shared" si="9"/>
        <v>-6.6666666666666541E-2</v>
      </c>
    </row>
    <row r="272" spans="1:10" x14ac:dyDescent="0.2">
      <c r="A272">
        <v>4</v>
      </c>
      <c r="B272">
        <v>2</v>
      </c>
      <c r="C272">
        <v>10</v>
      </c>
      <c r="D272">
        <v>3.38</v>
      </c>
      <c r="E272">
        <v>8</v>
      </c>
      <c r="F272">
        <v>12</v>
      </c>
      <c r="G272">
        <f t="shared" si="8"/>
        <v>96</v>
      </c>
      <c r="H272">
        <f>VLOOKUP(A272,fruit_size!$A$2:$E$5,4,FALSE)</f>
        <v>0.3</v>
      </c>
      <c r="I272">
        <f>VLOOKUP(A272,fruit_size!$A$2:$E$5,5,FALSE)</f>
        <v>0.28000000000000003</v>
      </c>
      <c r="J272" s="4">
        <f t="shared" si="9"/>
        <v>-6.6666666666666541E-2</v>
      </c>
    </row>
    <row r="273" spans="1:10" x14ac:dyDescent="0.2">
      <c r="A273">
        <v>4</v>
      </c>
      <c r="B273">
        <v>2</v>
      </c>
      <c r="C273">
        <v>11</v>
      </c>
      <c r="D273">
        <v>3.88</v>
      </c>
      <c r="E273">
        <v>8</v>
      </c>
      <c r="F273">
        <v>12</v>
      </c>
      <c r="G273">
        <f t="shared" si="8"/>
        <v>96</v>
      </c>
      <c r="H273">
        <f>VLOOKUP(A273,fruit_size!$A$2:$E$5,4,FALSE)</f>
        <v>0.3</v>
      </c>
      <c r="I273">
        <f>VLOOKUP(A273,fruit_size!$A$2:$E$5,5,FALSE)</f>
        <v>0.28000000000000003</v>
      </c>
      <c r="J273" s="4">
        <f t="shared" si="9"/>
        <v>-6.6666666666666541E-2</v>
      </c>
    </row>
    <row r="274" spans="1:10" x14ac:dyDescent="0.2">
      <c r="A274">
        <v>4</v>
      </c>
      <c r="B274">
        <v>2</v>
      </c>
      <c r="C274">
        <v>12</v>
      </c>
      <c r="D274">
        <v>4.1100000000000003</v>
      </c>
      <c r="E274">
        <v>8</v>
      </c>
      <c r="F274">
        <v>12</v>
      </c>
      <c r="G274">
        <f t="shared" si="8"/>
        <v>96</v>
      </c>
      <c r="H274">
        <f>VLOOKUP(A274,fruit_size!$A$2:$E$5,4,FALSE)</f>
        <v>0.3</v>
      </c>
      <c r="I274">
        <f>VLOOKUP(A274,fruit_size!$A$2:$E$5,5,FALSE)</f>
        <v>0.28000000000000003</v>
      </c>
      <c r="J274" s="4">
        <f t="shared" si="9"/>
        <v>-6.6666666666666541E-2</v>
      </c>
    </row>
    <row r="275" spans="1:10" x14ac:dyDescent="0.2">
      <c r="A275">
        <v>4</v>
      </c>
      <c r="B275">
        <v>2</v>
      </c>
      <c r="C275">
        <v>13</v>
      </c>
      <c r="D275">
        <v>4.1500000000000004</v>
      </c>
      <c r="E275">
        <v>8</v>
      </c>
      <c r="F275">
        <v>12</v>
      </c>
      <c r="G275">
        <f t="shared" si="8"/>
        <v>96</v>
      </c>
      <c r="H275">
        <f>VLOOKUP(A275,fruit_size!$A$2:$E$5,4,FALSE)</f>
        <v>0.3</v>
      </c>
      <c r="I275">
        <f>VLOOKUP(A275,fruit_size!$A$2:$E$5,5,FALSE)</f>
        <v>0.28000000000000003</v>
      </c>
      <c r="J275" s="4">
        <f t="shared" si="9"/>
        <v>-6.6666666666666541E-2</v>
      </c>
    </row>
    <row r="276" spans="1:10" x14ac:dyDescent="0.2">
      <c r="A276">
        <v>4</v>
      </c>
      <c r="B276">
        <v>2</v>
      </c>
      <c r="C276">
        <v>14</v>
      </c>
      <c r="D276">
        <v>4.74</v>
      </c>
      <c r="E276">
        <v>8</v>
      </c>
      <c r="F276">
        <v>12</v>
      </c>
      <c r="G276">
        <f t="shared" si="8"/>
        <v>96</v>
      </c>
      <c r="H276">
        <f>VLOOKUP(A276,fruit_size!$A$2:$E$5,4,FALSE)</f>
        <v>0.3</v>
      </c>
      <c r="I276">
        <f>VLOOKUP(A276,fruit_size!$A$2:$E$5,5,FALSE)</f>
        <v>0.28000000000000003</v>
      </c>
      <c r="J276" s="4">
        <f t="shared" si="9"/>
        <v>-6.6666666666666541E-2</v>
      </c>
    </row>
    <row r="277" spans="1:10" x14ac:dyDescent="0.2">
      <c r="A277">
        <v>4</v>
      </c>
      <c r="B277">
        <v>2</v>
      </c>
      <c r="C277">
        <v>15</v>
      </c>
      <c r="D277">
        <v>3.39</v>
      </c>
      <c r="E277">
        <v>8</v>
      </c>
      <c r="F277">
        <v>12</v>
      </c>
      <c r="G277">
        <f t="shared" si="8"/>
        <v>96</v>
      </c>
      <c r="H277">
        <f>VLOOKUP(A277,fruit_size!$A$2:$E$5,4,FALSE)</f>
        <v>0.3</v>
      </c>
      <c r="I277">
        <f>VLOOKUP(A277,fruit_size!$A$2:$E$5,5,FALSE)</f>
        <v>0.28000000000000003</v>
      </c>
      <c r="J277" s="4">
        <f t="shared" si="9"/>
        <v>-6.6666666666666541E-2</v>
      </c>
    </row>
    <row r="278" spans="1:10" x14ac:dyDescent="0.2">
      <c r="A278">
        <v>4</v>
      </c>
      <c r="B278">
        <v>2</v>
      </c>
      <c r="C278">
        <v>16</v>
      </c>
      <c r="D278">
        <v>3.71</v>
      </c>
      <c r="E278">
        <v>8</v>
      </c>
      <c r="F278">
        <v>12</v>
      </c>
      <c r="G278">
        <f t="shared" si="8"/>
        <v>96</v>
      </c>
      <c r="H278">
        <f>VLOOKUP(A278,fruit_size!$A$2:$E$5,4,FALSE)</f>
        <v>0.3</v>
      </c>
      <c r="I278">
        <f>VLOOKUP(A278,fruit_size!$A$2:$E$5,5,FALSE)</f>
        <v>0.28000000000000003</v>
      </c>
      <c r="J278" s="4">
        <f t="shared" si="9"/>
        <v>-6.6666666666666541E-2</v>
      </c>
    </row>
    <row r="279" spans="1:10" x14ac:dyDescent="0.2">
      <c r="A279">
        <v>4</v>
      </c>
      <c r="B279">
        <v>2</v>
      </c>
      <c r="C279">
        <v>17</v>
      </c>
      <c r="D279">
        <v>4.41</v>
      </c>
      <c r="E279">
        <v>8</v>
      </c>
      <c r="F279">
        <v>12</v>
      </c>
      <c r="G279">
        <f t="shared" si="8"/>
        <v>96</v>
      </c>
      <c r="H279">
        <f>VLOOKUP(A279,fruit_size!$A$2:$E$5,4,FALSE)</f>
        <v>0.3</v>
      </c>
      <c r="I279">
        <f>VLOOKUP(A279,fruit_size!$A$2:$E$5,5,FALSE)</f>
        <v>0.28000000000000003</v>
      </c>
      <c r="J279" s="4">
        <f t="shared" si="9"/>
        <v>-6.6666666666666541E-2</v>
      </c>
    </row>
    <row r="280" spans="1:10" x14ac:dyDescent="0.2">
      <c r="A280">
        <v>4</v>
      </c>
      <c r="B280">
        <v>2</v>
      </c>
      <c r="C280">
        <v>18</v>
      </c>
      <c r="D280">
        <v>3.03</v>
      </c>
      <c r="E280">
        <v>8</v>
      </c>
      <c r="F280">
        <v>12</v>
      </c>
      <c r="G280">
        <f t="shared" si="8"/>
        <v>96</v>
      </c>
      <c r="H280">
        <f>VLOOKUP(A280,fruit_size!$A$2:$E$5,4,FALSE)</f>
        <v>0.3</v>
      </c>
      <c r="I280">
        <f>VLOOKUP(A280,fruit_size!$A$2:$E$5,5,FALSE)</f>
        <v>0.28000000000000003</v>
      </c>
      <c r="J280" s="4">
        <f t="shared" si="9"/>
        <v>-6.6666666666666541E-2</v>
      </c>
    </row>
    <row r="281" spans="1:10" x14ac:dyDescent="0.2">
      <c r="A281">
        <v>4</v>
      </c>
      <c r="B281">
        <v>2</v>
      </c>
      <c r="C281">
        <v>19</v>
      </c>
      <c r="D281">
        <v>3.89</v>
      </c>
      <c r="E281">
        <v>8</v>
      </c>
      <c r="F281">
        <v>12</v>
      </c>
      <c r="G281">
        <f t="shared" si="8"/>
        <v>96</v>
      </c>
      <c r="H281">
        <f>VLOOKUP(A281,fruit_size!$A$2:$E$5,4,FALSE)</f>
        <v>0.3</v>
      </c>
      <c r="I281">
        <f>VLOOKUP(A281,fruit_size!$A$2:$E$5,5,FALSE)</f>
        <v>0.28000000000000003</v>
      </c>
      <c r="J281" s="4">
        <f t="shared" si="9"/>
        <v>-6.6666666666666541E-2</v>
      </c>
    </row>
    <row r="282" spans="1:10" x14ac:dyDescent="0.2">
      <c r="A282">
        <v>4</v>
      </c>
      <c r="B282">
        <v>2</v>
      </c>
      <c r="C282">
        <v>20</v>
      </c>
      <c r="D282">
        <v>4.24</v>
      </c>
      <c r="E282">
        <v>8</v>
      </c>
      <c r="F282">
        <v>12</v>
      </c>
      <c r="G282">
        <f t="shared" si="8"/>
        <v>96</v>
      </c>
      <c r="H282">
        <f>VLOOKUP(A282,fruit_size!$A$2:$E$5,4,FALSE)</f>
        <v>0.3</v>
      </c>
      <c r="I282">
        <f>VLOOKUP(A282,fruit_size!$A$2:$E$5,5,FALSE)</f>
        <v>0.28000000000000003</v>
      </c>
      <c r="J282" s="4">
        <f t="shared" si="9"/>
        <v>-6.6666666666666541E-2</v>
      </c>
    </row>
    <row r="283" spans="1:10" x14ac:dyDescent="0.2">
      <c r="A283">
        <v>4</v>
      </c>
      <c r="B283">
        <v>3</v>
      </c>
      <c r="C283">
        <v>1</v>
      </c>
      <c r="D283">
        <v>4.05</v>
      </c>
      <c r="E283">
        <v>8</v>
      </c>
      <c r="F283">
        <v>12</v>
      </c>
      <c r="G283">
        <f t="shared" si="8"/>
        <v>96</v>
      </c>
      <c r="H283">
        <f>VLOOKUP(A283,fruit_size!$A$2:$E$5,4,FALSE)</f>
        <v>0.3</v>
      </c>
      <c r="I283">
        <f>VLOOKUP(A283,fruit_size!$A$2:$E$5,5,FALSE)</f>
        <v>0.28000000000000003</v>
      </c>
      <c r="J283" s="4">
        <f t="shared" si="9"/>
        <v>-6.6666666666666541E-2</v>
      </c>
    </row>
    <row r="284" spans="1:10" x14ac:dyDescent="0.2">
      <c r="A284">
        <v>4</v>
      </c>
      <c r="B284">
        <v>3</v>
      </c>
      <c r="C284">
        <v>2</v>
      </c>
      <c r="D284">
        <v>3.73</v>
      </c>
      <c r="E284">
        <v>8</v>
      </c>
      <c r="F284">
        <v>12</v>
      </c>
      <c r="G284">
        <f t="shared" si="8"/>
        <v>96</v>
      </c>
      <c r="H284">
        <f>VLOOKUP(A284,fruit_size!$A$2:$E$5,4,FALSE)</f>
        <v>0.3</v>
      </c>
      <c r="I284">
        <f>VLOOKUP(A284,fruit_size!$A$2:$E$5,5,FALSE)</f>
        <v>0.28000000000000003</v>
      </c>
      <c r="J284" s="4">
        <f t="shared" si="9"/>
        <v>-6.6666666666666541E-2</v>
      </c>
    </row>
    <row r="285" spans="1:10" x14ac:dyDescent="0.2">
      <c r="A285">
        <v>4</v>
      </c>
      <c r="B285">
        <v>3</v>
      </c>
      <c r="C285">
        <v>3</v>
      </c>
      <c r="D285">
        <v>3.62</v>
      </c>
      <c r="E285">
        <v>8</v>
      </c>
      <c r="F285">
        <v>12</v>
      </c>
      <c r="G285">
        <f t="shared" si="8"/>
        <v>96</v>
      </c>
      <c r="H285">
        <f>VLOOKUP(A285,fruit_size!$A$2:$E$5,4,FALSE)</f>
        <v>0.3</v>
      </c>
      <c r="I285">
        <f>VLOOKUP(A285,fruit_size!$A$2:$E$5,5,FALSE)</f>
        <v>0.28000000000000003</v>
      </c>
      <c r="J285" s="4">
        <f t="shared" si="9"/>
        <v>-6.6666666666666541E-2</v>
      </c>
    </row>
    <row r="286" spans="1:10" x14ac:dyDescent="0.2">
      <c r="A286">
        <v>4</v>
      </c>
      <c r="B286">
        <v>3</v>
      </c>
      <c r="C286">
        <v>4</v>
      </c>
      <c r="D286">
        <v>3.15</v>
      </c>
      <c r="E286">
        <v>8</v>
      </c>
      <c r="F286">
        <v>12</v>
      </c>
      <c r="G286">
        <f t="shared" si="8"/>
        <v>96</v>
      </c>
      <c r="H286">
        <f>VLOOKUP(A286,fruit_size!$A$2:$E$5,4,FALSE)</f>
        <v>0.3</v>
      </c>
      <c r="I286">
        <f>VLOOKUP(A286,fruit_size!$A$2:$E$5,5,FALSE)</f>
        <v>0.28000000000000003</v>
      </c>
      <c r="J286" s="4">
        <f t="shared" si="9"/>
        <v>-6.6666666666666541E-2</v>
      </c>
    </row>
    <row r="287" spans="1:10" x14ac:dyDescent="0.2">
      <c r="A287">
        <v>4</v>
      </c>
      <c r="B287">
        <v>3</v>
      </c>
      <c r="C287">
        <v>5</v>
      </c>
      <c r="D287">
        <v>3.09</v>
      </c>
      <c r="E287">
        <v>8</v>
      </c>
      <c r="F287">
        <v>12</v>
      </c>
      <c r="G287">
        <f t="shared" si="8"/>
        <v>96</v>
      </c>
      <c r="H287">
        <f>VLOOKUP(A287,fruit_size!$A$2:$E$5,4,FALSE)</f>
        <v>0.3</v>
      </c>
      <c r="I287">
        <f>VLOOKUP(A287,fruit_size!$A$2:$E$5,5,FALSE)</f>
        <v>0.28000000000000003</v>
      </c>
      <c r="J287" s="4">
        <f t="shared" si="9"/>
        <v>-6.6666666666666541E-2</v>
      </c>
    </row>
    <row r="288" spans="1:10" x14ac:dyDescent="0.2">
      <c r="A288">
        <v>4</v>
      </c>
      <c r="B288">
        <v>3</v>
      </c>
      <c r="C288">
        <v>6</v>
      </c>
      <c r="D288">
        <v>3.99</v>
      </c>
      <c r="E288">
        <v>8</v>
      </c>
      <c r="F288">
        <v>12</v>
      </c>
      <c r="G288">
        <f t="shared" si="8"/>
        <v>96</v>
      </c>
      <c r="H288">
        <f>VLOOKUP(A288,fruit_size!$A$2:$E$5,4,FALSE)</f>
        <v>0.3</v>
      </c>
      <c r="I288">
        <f>VLOOKUP(A288,fruit_size!$A$2:$E$5,5,FALSE)</f>
        <v>0.28000000000000003</v>
      </c>
      <c r="J288" s="4">
        <f t="shared" si="9"/>
        <v>-6.6666666666666541E-2</v>
      </c>
    </row>
    <row r="289" spans="1:10" x14ac:dyDescent="0.2">
      <c r="A289">
        <v>4</v>
      </c>
      <c r="B289">
        <v>3</v>
      </c>
      <c r="C289">
        <v>7</v>
      </c>
      <c r="D289">
        <v>4.24</v>
      </c>
      <c r="E289">
        <v>8</v>
      </c>
      <c r="F289">
        <v>12</v>
      </c>
      <c r="G289">
        <f t="shared" si="8"/>
        <v>96</v>
      </c>
      <c r="H289">
        <f>VLOOKUP(A289,fruit_size!$A$2:$E$5,4,FALSE)</f>
        <v>0.3</v>
      </c>
      <c r="I289">
        <f>VLOOKUP(A289,fruit_size!$A$2:$E$5,5,FALSE)</f>
        <v>0.28000000000000003</v>
      </c>
      <c r="J289" s="4">
        <f t="shared" si="9"/>
        <v>-6.6666666666666541E-2</v>
      </c>
    </row>
    <row r="290" spans="1:10" x14ac:dyDescent="0.2">
      <c r="A290">
        <v>4</v>
      </c>
      <c r="B290">
        <v>3</v>
      </c>
      <c r="C290">
        <v>8</v>
      </c>
      <c r="D290">
        <v>3.98</v>
      </c>
      <c r="E290">
        <v>8</v>
      </c>
      <c r="F290">
        <v>12</v>
      </c>
      <c r="G290">
        <f t="shared" si="8"/>
        <v>96</v>
      </c>
      <c r="H290">
        <f>VLOOKUP(A290,fruit_size!$A$2:$E$5,4,FALSE)</f>
        <v>0.3</v>
      </c>
      <c r="I290">
        <f>VLOOKUP(A290,fruit_size!$A$2:$E$5,5,FALSE)</f>
        <v>0.28000000000000003</v>
      </c>
      <c r="J290" s="4">
        <f t="shared" si="9"/>
        <v>-6.6666666666666541E-2</v>
      </c>
    </row>
    <row r="291" spans="1:10" x14ac:dyDescent="0.2">
      <c r="A291">
        <v>4</v>
      </c>
      <c r="B291">
        <v>3</v>
      </c>
      <c r="C291">
        <v>9</v>
      </c>
      <c r="D291">
        <v>3.6</v>
      </c>
      <c r="E291">
        <v>8</v>
      </c>
      <c r="F291">
        <v>12</v>
      </c>
      <c r="G291">
        <f t="shared" si="8"/>
        <v>96</v>
      </c>
      <c r="H291">
        <f>VLOOKUP(A291,fruit_size!$A$2:$E$5,4,FALSE)</f>
        <v>0.3</v>
      </c>
      <c r="I291">
        <f>VLOOKUP(A291,fruit_size!$A$2:$E$5,5,FALSE)</f>
        <v>0.28000000000000003</v>
      </c>
      <c r="J291" s="4">
        <f t="shared" si="9"/>
        <v>-6.6666666666666541E-2</v>
      </c>
    </row>
    <row r="292" spans="1:10" x14ac:dyDescent="0.2">
      <c r="A292">
        <v>4</v>
      </c>
      <c r="B292">
        <v>3</v>
      </c>
      <c r="C292">
        <v>10</v>
      </c>
      <c r="D292">
        <v>4.05</v>
      </c>
      <c r="E292">
        <v>8</v>
      </c>
      <c r="F292">
        <v>12</v>
      </c>
      <c r="G292">
        <f t="shared" si="8"/>
        <v>96</v>
      </c>
      <c r="H292">
        <f>VLOOKUP(A292,fruit_size!$A$2:$E$5,4,FALSE)</f>
        <v>0.3</v>
      </c>
      <c r="I292">
        <f>VLOOKUP(A292,fruit_size!$A$2:$E$5,5,FALSE)</f>
        <v>0.28000000000000003</v>
      </c>
      <c r="J292" s="4">
        <f t="shared" si="9"/>
        <v>-6.6666666666666541E-2</v>
      </c>
    </row>
    <row r="293" spans="1:10" x14ac:dyDescent="0.2">
      <c r="A293">
        <v>4</v>
      </c>
      <c r="B293">
        <v>3</v>
      </c>
      <c r="C293">
        <v>11</v>
      </c>
      <c r="D293">
        <v>2.39</v>
      </c>
      <c r="E293">
        <v>8</v>
      </c>
      <c r="F293">
        <v>12</v>
      </c>
      <c r="G293">
        <f t="shared" si="8"/>
        <v>96</v>
      </c>
      <c r="H293">
        <f>VLOOKUP(A293,fruit_size!$A$2:$E$5,4,FALSE)</f>
        <v>0.3</v>
      </c>
      <c r="I293">
        <f>VLOOKUP(A293,fruit_size!$A$2:$E$5,5,FALSE)</f>
        <v>0.28000000000000003</v>
      </c>
      <c r="J293" s="4">
        <f t="shared" si="9"/>
        <v>-6.6666666666666541E-2</v>
      </c>
    </row>
    <row r="294" spans="1:10" x14ac:dyDescent="0.2">
      <c r="A294">
        <v>4</v>
      </c>
      <c r="B294">
        <v>3</v>
      </c>
      <c r="C294">
        <v>12</v>
      </c>
      <c r="D294">
        <v>3.35</v>
      </c>
      <c r="E294">
        <v>8</v>
      </c>
      <c r="F294">
        <v>12</v>
      </c>
      <c r="G294">
        <f t="shared" si="8"/>
        <v>96</v>
      </c>
      <c r="H294">
        <f>VLOOKUP(A294,fruit_size!$A$2:$E$5,4,FALSE)</f>
        <v>0.3</v>
      </c>
      <c r="I294">
        <f>VLOOKUP(A294,fruit_size!$A$2:$E$5,5,FALSE)</f>
        <v>0.28000000000000003</v>
      </c>
      <c r="J294" s="4">
        <f t="shared" si="9"/>
        <v>-6.6666666666666541E-2</v>
      </c>
    </row>
    <row r="295" spans="1:10" x14ac:dyDescent="0.2">
      <c r="A295">
        <v>4</v>
      </c>
      <c r="B295">
        <v>3</v>
      </c>
      <c r="C295">
        <v>13</v>
      </c>
      <c r="D295">
        <v>2.96</v>
      </c>
      <c r="E295">
        <v>8</v>
      </c>
      <c r="F295">
        <v>12</v>
      </c>
      <c r="G295">
        <f t="shared" si="8"/>
        <v>96</v>
      </c>
      <c r="H295">
        <f>VLOOKUP(A295,fruit_size!$A$2:$E$5,4,FALSE)</f>
        <v>0.3</v>
      </c>
      <c r="I295">
        <f>VLOOKUP(A295,fruit_size!$A$2:$E$5,5,FALSE)</f>
        <v>0.28000000000000003</v>
      </c>
      <c r="J295" s="4">
        <f t="shared" si="9"/>
        <v>-6.6666666666666541E-2</v>
      </c>
    </row>
    <row r="296" spans="1:10" x14ac:dyDescent="0.2">
      <c r="A296">
        <v>4</v>
      </c>
      <c r="B296">
        <v>3</v>
      </c>
      <c r="C296">
        <v>14</v>
      </c>
      <c r="D296">
        <v>3.61</v>
      </c>
      <c r="E296">
        <v>8</v>
      </c>
      <c r="F296">
        <v>12</v>
      </c>
      <c r="G296">
        <f t="shared" si="8"/>
        <v>96</v>
      </c>
      <c r="H296">
        <f>VLOOKUP(A296,fruit_size!$A$2:$E$5,4,FALSE)</f>
        <v>0.3</v>
      </c>
      <c r="I296">
        <f>VLOOKUP(A296,fruit_size!$A$2:$E$5,5,FALSE)</f>
        <v>0.28000000000000003</v>
      </c>
      <c r="J296" s="4">
        <f t="shared" si="9"/>
        <v>-6.6666666666666541E-2</v>
      </c>
    </row>
    <row r="297" spans="1:10" x14ac:dyDescent="0.2">
      <c r="A297">
        <v>4</v>
      </c>
      <c r="B297">
        <v>3</v>
      </c>
      <c r="C297">
        <v>15</v>
      </c>
      <c r="D297">
        <v>3.5</v>
      </c>
      <c r="E297">
        <v>8</v>
      </c>
      <c r="F297">
        <v>12</v>
      </c>
      <c r="G297">
        <f t="shared" si="8"/>
        <v>96</v>
      </c>
      <c r="H297">
        <f>VLOOKUP(A297,fruit_size!$A$2:$E$5,4,FALSE)</f>
        <v>0.3</v>
      </c>
      <c r="I297">
        <f>VLOOKUP(A297,fruit_size!$A$2:$E$5,5,FALSE)</f>
        <v>0.28000000000000003</v>
      </c>
      <c r="J297" s="4">
        <f t="shared" si="9"/>
        <v>-6.6666666666666541E-2</v>
      </c>
    </row>
    <row r="298" spans="1:10" x14ac:dyDescent="0.2">
      <c r="A298">
        <v>4</v>
      </c>
      <c r="B298">
        <v>3</v>
      </c>
      <c r="C298">
        <v>16</v>
      </c>
      <c r="D298">
        <v>4.37</v>
      </c>
      <c r="E298">
        <v>8</v>
      </c>
      <c r="F298">
        <v>12</v>
      </c>
      <c r="G298">
        <f t="shared" si="8"/>
        <v>96</v>
      </c>
      <c r="H298">
        <f>VLOOKUP(A298,fruit_size!$A$2:$E$5,4,FALSE)</f>
        <v>0.3</v>
      </c>
      <c r="I298">
        <f>VLOOKUP(A298,fruit_size!$A$2:$E$5,5,FALSE)</f>
        <v>0.28000000000000003</v>
      </c>
      <c r="J298" s="4">
        <f t="shared" si="9"/>
        <v>-6.6666666666666541E-2</v>
      </c>
    </row>
    <row r="299" spans="1:10" x14ac:dyDescent="0.2">
      <c r="A299">
        <v>4</v>
      </c>
      <c r="B299">
        <v>3</v>
      </c>
      <c r="C299">
        <v>17</v>
      </c>
      <c r="D299">
        <v>3.86</v>
      </c>
      <c r="E299">
        <v>8</v>
      </c>
      <c r="F299">
        <v>12</v>
      </c>
      <c r="G299">
        <f t="shared" si="8"/>
        <v>96</v>
      </c>
      <c r="H299">
        <f>VLOOKUP(A299,fruit_size!$A$2:$E$5,4,FALSE)</f>
        <v>0.3</v>
      </c>
      <c r="I299">
        <f>VLOOKUP(A299,fruit_size!$A$2:$E$5,5,FALSE)</f>
        <v>0.28000000000000003</v>
      </c>
      <c r="J299" s="4">
        <f t="shared" si="9"/>
        <v>-6.6666666666666541E-2</v>
      </c>
    </row>
    <row r="300" spans="1:10" x14ac:dyDescent="0.2">
      <c r="A300">
        <v>4</v>
      </c>
      <c r="B300">
        <v>3</v>
      </c>
      <c r="C300">
        <v>18</v>
      </c>
      <c r="D300">
        <v>4.3099999999999996</v>
      </c>
      <c r="E300">
        <v>8</v>
      </c>
      <c r="F300">
        <v>12</v>
      </c>
      <c r="G300">
        <f t="shared" si="8"/>
        <v>96</v>
      </c>
      <c r="H300">
        <f>VLOOKUP(A300,fruit_size!$A$2:$E$5,4,FALSE)</f>
        <v>0.3</v>
      </c>
      <c r="I300">
        <f>VLOOKUP(A300,fruit_size!$A$2:$E$5,5,FALSE)</f>
        <v>0.28000000000000003</v>
      </c>
      <c r="J300" s="4">
        <f t="shared" si="9"/>
        <v>-6.6666666666666541E-2</v>
      </c>
    </row>
    <row r="301" spans="1:10" x14ac:dyDescent="0.2">
      <c r="A301">
        <v>4</v>
      </c>
      <c r="B301">
        <v>3</v>
      </c>
      <c r="C301">
        <v>19</v>
      </c>
      <c r="D301">
        <v>2.89</v>
      </c>
      <c r="E301">
        <v>8</v>
      </c>
      <c r="F301">
        <v>12</v>
      </c>
      <c r="G301">
        <f t="shared" si="8"/>
        <v>96</v>
      </c>
      <c r="H301">
        <f>VLOOKUP(A301,fruit_size!$A$2:$E$5,4,FALSE)</f>
        <v>0.3</v>
      </c>
      <c r="I301">
        <f>VLOOKUP(A301,fruit_size!$A$2:$E$5,5,FALSE)</f>
        <v>0.28000000000000003</v>
      </c>
      <c r="J301" s="4">
        <f t="shared" si="9"/>
        <v>-6.6666666666666541E-2</v>
      </c>
    </row>
    <row r="302" spans="1:10" x14ac:dyDescent="0.2">
      <c r="A302">
        <v>4</v>
      </c>
      <c r="B302">
        <v>3</v>
      </c>
      <c r="C302">
        <v>20</v>
      </c>
      <c r="D302">
        <v>3.3</v>
      </c>
      <c r="E302">
        <v>8</v>
      </c>
      <c r="F302">
        <v>12</v>
      </c>
      <c r="G302">
        <f t="shared" si="8"/>
        <v>96</v>
      </c>
      <c r="H302">
        <f>VLOOKUP(A302,fruit_size!$A$2:$E$5,4,FALSE)</f>
        <v>0.3</v>
      </c>
      <c r="I302">
        <f>VLOOKUP(A302,fruit_size!$A$2:$E$5,5,FALSE)</f>
        <v>0.28000000000000003</v>
      </c>
      <c r="J302" s="4">
        <f t="shared" si="9"/>
        <v>-6.6666666666666541E-2</v>
      </c>
    </row>
    <row r="303" spans="1:10" x14ac:dyDescent="0.2">
      <c r="A303">
        <v>4</v>
      </c>
      <c r="B303">
        <v>4</v>
      </c>
      <c r="C303">
        <v>6</v>
      </c>
      <c r="D303">
        <v>3.05</v>
      </c>
      <c r="E303">
        <v>8</v>
      </c>
      <c r="F303">
        <v>12</v>
      </c>
      <c r="G303">
        <f t="shared" si="8"/>
        <v>96</v>
      </c>
      <c r="H303">
        <f>VLOOKUP(A303,fruit_size!$A$2:$E$5,4,FALSE)</f>
        <v>0.3</v>
      </c>
      <c r="I303">
        <f>VLOOKUP(A303,fruit_size!$A$2:$E$5,5,FALSE)</f>
        <v>0.28000000000000003</v>
      </c>
      <c r="J303" s="4">
        <f t="shared" si="9"/>
        <v>-6.6666666666666541E-2</v>
      </c>
    </row>
    <row r="304" spans="1:10" x14ac:dyDescent="0.2">
      <c r="A304">
        <v>4</v>
      </c>
      <c r="B304">
        <v>4</v>
      </c>
      <c r="C304">
        <v>7</v>
      </c>
      <c r="D304">
        <v>4.16</v>
      </c>
      <c r="E304">
        <v>8</v>
      </c>
      <c r="F304">
        <v>12</v>
      </c>
      <c r="G304">
        <f t="shared" si="8"/>
        <v>96</v>
      </c>
      <c r="H304">
        <f>VLOOKUP(A304,fruit_size!$A$2:$E$5,4,FALSE)</f>
        <v>0.3</v>
      </c>
      <c r="I304">
        <f>VLOOKUP(A304,fruit_size!$A$2:$E$5,5,FALSE)</f>
        <v>0.28000000000000003</v>
      </c>
      <c r="J304" s="4">
        <f t="shared" si="9"/>
        <v>-6.6666666666666541E-2</v>
      </c>
    </row>
    <row r="305" spans="1:10" x14ac:dyDescent="0.2">
      <c r="A305">
        <v>4</v>
      </c>
      <c r="B305">
        <v>4</v>
      </c>
      <c r="C305">
        <v>8</v>
      </c>
      <c r="D305">
        <v>4.0599999999999996</v>
      </c>
      <c r="E305">
        <v>8</v>
      </c>
      <c r="F305">
        <v>12</v>
      </c>
      <c r="G305">
        <f t="shared" si="8"/>
        <v>96</v>
      </c>
      <c r="H305">
        <f>VLOOKUP(A305,fruit_size!$A$2:$E$5,4,FALSE)</f>
        <v>0.3</v>
      </c>
      <c r="I305">
        <f>VLOOKUP(A305,fruit_size!$A$2:$E$5,5,FALSE)</f>
        <v>0.28000000000000003</v>
      </c>
      <c r="J305" s="4">
        <f t="shared" si="9"/>
        <v>-6.6666666666666541E-2</v>
      </c>
    </row>
    <row r="306" spans="1:10" x14ac:dyDescent="0.2">
      <c r="A306">
        <v>4</v>
      </c>
      <c r="B306">
        <v>4</v>
      </c>
      <c r="C306">
        <v>9</v>
      </c>
      <c r="D306">
        <v>4.46</v>
      </c>
      <c r="E306">
        <v>8</v>
      </c>
      <c r="F306">
        <v>12</v>
      </c>
      <c r="G306">
        <f t="shared" si="8"/>
        <v>96</v>
      </c>
      <c r="H306">
        <f>VLOOKUP(A306,fruit_size!$A$2:$E$5,4,FALSE)</f>
        <v>0.3</v>
      </c>
      <c r="I306">
        <f>VLOOKUP(A306,fruit_size!$A$2:$E$5,5,FALSE)</f>
        <v>0.28000000000000003</v>
      </c>
      <c r="J306" s="4">
        <f t="shared" si="9"/>
        <v>-6.6666666666666541E-2</v>
      </c>
    </row>
    <row r="307" spans="1:10" x14ac:dyDescent="0.2">
      <c r="A307">
        <v>4</v>
      </c>
      <c r="B307">
        <v>4</v>
      </c>
      <c r="C307">
        <v>10</v>
      </c>
      <c r="D307">
        <v>3.38</v>
      </c>
      <c r="E307">
        <v>8</v>
      </c>
      <c r="F307">
        <v>12</v>
      </c>
      <c r="G307">
        <f t="shared" si="8"/>
        <v>96</v>
      </c>
      <c r="H307">
        <f>VLOOKUP(A307,fruit_size!$A$2:$E$5,4,FALSE)</f>
        <v>0.3</v>
      </c>
      <c r="I307">
        <f>VLOOKUP(A307,fruit_size!$A$2:$E$5,5,FALSE)</f>
        <v>0.28000000000000003</v>
      </c>
      <c r="J307" s="4">
        <f t="shared" si="9"/>
        <v>-6.6666666666666541E-2</v>
      </c>
    </row>
    <row r="308" spans="1:10" x14ac:dyDescent="0.2">
      <c r="A308">
        <v>4</v>
      </c>
      <c r="B308">
        <v>4</v>
      </c>
      <c r="C308">
        <v>11</v>
      </c>
      <c r="D308">
        <v>3.88</v>
      </c>
      <c r="E308">
        <v>8</v>
      </c>
      <c r="F308">
        <v>12</v>
      </c>
      <c r="G308">
        <f t="shared" si="8"/>
        <v>96</v>
      </c>
      <c r="H308">
        <f>VLOOKUP(A308,fruit_size!$A$2:$E$5,4,FALSE)</f>
        <v>0.3</v>
      </c>
      <c r="I308">
        <f>VLOOKUP(A308,fruit_size!$A$2:$E$5,5,FALSE)</f>
        <v>0.28000000000000003</v>
      </c>
      <c r="J308" s="4">
        <f t="shared" si="9"/>
        <v>-6.6666666666666541E-2</v>
      </c>
    </row>
    <row r="309" spans="1:10" x14ac:dyDescent="0.2">
      <c r="A309">
        <v>4</v>
      </c>
      <c r="B309">
        <v>4</v>
      </c>
      <c r="C309">
        <v>12</v>
      </c>
      <c r="D309">
        <v>4.1100000000000003</v>
      </c>
      <c r="E309">
        <v>8</v>
      </c>
      <c r="F309">
        <v>12</v>
      </c>
      <c r="G309">
        <f t="shared" si="8"/>
        <v>96</v>
      </c>
      <c r="H309">
        <f>VLOOKUP(A309,fruit_size!$A$2:$E$5,4,FALSE)</f>
        <v>0.3</v>
      </c>
      <c r="I309">
        <f>VLOOKUP(A309,fruit_size!$A$2:$E$5,5,FALSE)</f>
        <v>0.28000000000000003</v>
      </c>
      <c r="J309" s="4">
        <f t="shared" si="9"/>
        <v>-6.6666666666666541E-2</v>
      </c>
    </row>
    <row r="310" spans="1:10" x14ac:dyDescent="0.2">
      <c r="A310">
        <v>4</v>
      </c>
      <c r="B310">
        <v>4</v>
      </c>
      <c r="C310">
        <v>13</v>
      </c>
      <c r="D310">
        <v>4.1500000000000004</v>
      </c>
      <c r="E310">
        <v>8</v>
      </c>
      <c r="F310">
        <v>12</v>
      </c>
      <c r="G310">
        <f t="shared" si="8"/>
        <v>96</v>
      </c>
      <c r="H310">
        <f>VLOOKUP(A310,fruit_size!$A$2:$E$5,4,FALSE)</f>
        <v>0.3</v>
      </c>
      <c r="I310">
        <f>VLOOKUP(A310,fruit_size!$A$2:$E$5,5,FALSE)</f>
        <v>0.28000000000000003</v>
      </c>
      <c r="J310" s="4">
        <f t="shared" si="9"/>
        <v>-6.6666666666666541E-2</v>
      </c>
    </row>
    <row r="311" spans="1:10" x14ac:dyDescent="0.2">
      <c r="A311">
        <v>4</v>
      </c>
      <c r="B311">
        <v>4</v>
      </c>
      <c r="C311">
        <v>14</v>
      </c>
      <c r="D311">
        <v>4.74</v>
      </c>
      <c r="E311">
        <v>8</v>
      </c>
      <c r="F311">
        <v>12</v>
      </c>
      <c r="G311">
        <f t="shared" si="8"/>
        <v>96</v>
      </c>
      <c r="H311">
        <f>VLOOKUP(A311,fruit_size!$A$2:$E$5,4,FALSE)</f>
        <v>0.3</v>
      </c>
      <c r="I311">
        <f>VLOOKUP(A311,fruit_size!$A$2:$E$5,5,FALSE)</f>
        <v>0.28000000000000003</v>
      </c>
      <c r="J311" s="4">
        <f t="shared" si="9"/>
        <v>-6.6666666666666541E-2</v>
      </c>
    </row>
    <row r="312" spans="1:10" x14ac:dyDescent="0.2">
      <c r="A312">
        <v>4</v>
      </c>
      <c r="B312">
        <v>4</v>
      </c>
      <c r="C312">
        <v>15</v>
      </c>
      <c r="D312">
        <v>3.39</v>
      </c>
      <c r="E312">
        <v>8</v>
      </c>
      <c r="F312">
        <v>12</v>
      </c>
      <c r="G312">
        <f t="shared" si="8"/>
        <v>96</v>
      </c>
      <c r="H312">
        <f>VLOOKUP(A312,fruit_size!$A$2:$E$5,4,FALSE)</f>
        <v>0.3</v>
      </c>
      <c r="I312">
        <f>VLOOKUP(A312,fruit_size!$A$2:$E$5,5,FALSE)</f>
        <v>0.28000000000000003</v>
      </c>
      <c r="J312" s="4">
        <f t="shared" si="9"/>
        <v>-6.6666666666666541E-2</v>
      </c>
    </row>
    <row r="313" spans="1:10" x14ac:dyDescent="0.2">
      <c r="A313">
        <v>4</v>
      </c>
      <c r="B313">
        <v>4</v>
      </c>
      <c r="C313">
        <v>6</v>
      </c>
      <c r="D313">
        <v>3.99</v>
      </c>
      <c r="E313">
        <v>8</v>
      </c>
      <c r="F313">
        <v>12</v>
      </c>
      <c r="G313">
        <f t="shared" si="8"/>
        <v>96</v>
      </c>
      <c r="H313">
        <f>VLOOKUP(A313,fruit_size!$A$2:$E$5,4,FALSE)</f>
        <v>0.3</v>
      </c>
      <c r="I313">
        <f>VLOOKUP(A313,fruit_size!$A$2:$E$5,5,FALSE)</f>
        <v>0.28000000000000003</v>
      </c>
      <c r="J313" s="4">
        <f t="shared" si="9"/>
        <v>-6.6666666666666541E-2</v>
      </c>
    </row>
    <row r="314" spans="1:10" x14ac:dyDescent="0.2">
      <c r="A314">
        <v>4</v>
      </c>
      <c r="B314">
        <v>4</v>
      </c>
      <c r="C314">
        <v>7</v>
      </c>
      <c r="D314">
        <v>4.24</v>
      </c>
      <c r="E314">
        <v>8</v>
      </c>
      <c r="F314">
        <v>12</v>
      </c>
      <c r="G314">
        <f t="shared" si="8"/>
        <v>96</v>
      </c>
      <c r="H314">
        <f>VLOOKUP(A314,fruit_size!$A$2:$E$5,4,FALSE)</f>
        <v>0.3</v>
      </c>
      <c r="I314">
        <f>VLOOKUP(A314,fruit_size!$A$2:$E$5,5,FALSE)</f>
        <v>0.28000000000000003</v>
      </c>
      <c r="J314" s="4">
        <f t="shared" si="9"/>
        <v>-6.6666666666666541E-2</v>
      </c>
    </row>
    <row r="315" spans="1:10" x14ac:dyDescent="0.2">
      <c r="A315">
        <v>4</v>
      </c>
      <c r="B315">
        <v>4</v>
      </c>
      <c r="C315">
        <v>8</v>
      </c>
      <c r="D315">
        <v>3.98</v>
      </c>
      <c r="E315">
        <v>8</v>
      </c>
      <c r="F315">
        <v>12</v>
      </c>
      <c r="G315">
        <f t="shared" si="8"/>
        <v>96</v>
      </c>
      <c r="H315">
        <f>VLOOKUP(A315,fruit_size!$A$2:$E$5,4,FALSE)</f>
        <v>0.3</v>
      </c>
      <c r="I315">
        <f>VLOOKUP(A315,fruit_size!$A$2:$E$5,5,FALSE)</f>
        <v>0.28000000000000003</v>
      </c>
      <c r="J315" s="4">
        <f t="shared" si="9"/>
        <v>-6.6666666666666541E-2</v>
      </c>
    </row>
    <row r="316" spans="1:10" x14ac:dyDescent="0.2">
      <c r="A316">
        <v>4</v>
      </c>
      <c r="B316">
        <v>4</v>
      </c>
      <c r="C316">
        <v>9</v>
      </c>
      <c r="D316">
        <v>3.6</v>
      </c>
      <c r="E316">
        <v>8</v>
      </c>
      <c r="F316">
        <v>12</v>
      </c>
      <c r="G316">
        <f t="shared" si="8"/>
        <v>96</v>
      </c>
      <c r="H316">
        <f>VLOOKUP(A316,fruit_size!$A$2:$E$5,4,FALSE)</f>
        <v>0.3</v>
      </c>
      <c r="I316">
        <f>VLOOKUP(A316,fruit_size!$A$2:$E$5,5,FALSE)</f>
        <v>0.28000000000000003</v>
      </c>
      <c r="J316" s="4">
        <f t="shared" si="9"/>
        <v>-6.6666666666666541E-2</v>
      </c>
    </row>
    <row r="317" spans="1:10" x14ac:dyDescent="0.2">
      <c r="A317">
        <v>4</v>
      </c>
      <c r="B317">
        <v>4</v>
      </c>
      <c r="C317">
        <v>10</v>
      </c>
      <c r="D317">
        <v>4.05</v>
      </c>
      <c r="E317">
        <v>8</v>
      </c>
      <c r="F317">
        <v>12</v>
      </c>
      <c r="G317">
        <f t="shared" si="8"/>
        <v>96</v>
      </c>
      <c r="H317">
        <f>VLOOKUP(A317,fruit_size!$A$2:$E$5,4,FALSE)</f>
        <v>0.3</v>
      </c>
      <c r="I317">
        <f>VLOOKUP(A317,fruit_size!$A$2:$E$5,5,FALSE)</f>
        <v>0.28000000000000003</v>
      </c>
      <c r="J317" s="4">
        <f t="shared" si="9"/>
        <v>-6.6666666666666541E-2</v>
      </c>
    </row>
    <row r="318" spans="1:10" x14ac:dyDescent="0.2">
      <c r="A318">
        <v>4</v>
      </c>
      <c r="B318">
        <v>4</v>
      </c>
      <c r="C318">
        <v>11</v>
      </c>
      <c r="D318">
        <v>2.39</v>
      </c>
      <c r="E318">
        <v>8</v>
      </c>
      <c r="F318">
        <v>12</v>
      </c>
      <c r="G318">
        <f t="shared" si="8"/>
        <v>96</v>
      </c>
      <c r="H318">
        <f>VLOOKUP(A318,fruit_size!$A$2:$E$5,4,FALSE)</f>
        <v>0.3</v>
      </c>
      <c r="I318">
        <f>VLOOKUP(A318,fruit_size!$A$2:$E$5,5,FALSE)</f>
        <v>0.28000000000000003</v>
      </c>
      <c r="J318" s="4">
        <f t="shared" si="9"/>
        <v>-6.6666666666666541E-2</v>
      </c>
    </row>
    <row r="319" spans="1:10" x14ac:dyDescent="0.2">
      <c r="A319">
        <v>4</v>
      </c>
      <c r="B319">
        <v>4</v>
      </c>
      <c r="C319">
        <v>12</v>
      </c>
      <c r="D319">
        <v>3.35</v>
      </c>
      <c r="E319">
        <v>8</v>
      </c>
      <c r="F319">
        <v>12</v>
      </c>
      <c r="G319">
        <f t="shared" si="8"/>
        <v>96</v>
      </c>
      <c r="H319">
        <f>VLOOKUP(A319,fruit_size!$A$2:$E$5,4,FALSE)</f>
        <v>0.3</v>
      </c>
      <c r="I319">
        <f>VLOOKUP(A319,fruit_size!$A$2:$E$5,5,FALSE)</f>
        <v>0.28000000000000003</v>
      </c>
      <c r="J319" s="4">
        <f t="shared" si="9"/>
        <v>-6.6666666666666541E-2</v>
      </c>
    </row>
    <row r="320" spans="1:10" x14ac:dyDescent="0.2">
      <c r="A320">
        <v>4</v>
      </c>
      <c r="B320">
        <v>4</v>
      </c>
      <c r="C320">
        <v>13</v>
      </c>
      <c r="D320">
        <v>2.96</v>
      </c>
      <c r="E320">
        <v>8</v>
      </c>
      <c r="F320">
        <v>12</v>
      </c>
      <c r="G320">
        <f t="shared" si="8"/>
        <v>96</v>
      </c>
      <c r="H320">
        <f>VLOOKUP(A320,fruit_size!$A$2:$E$5,4,FALSE)</f>
        <v>0.3</v>
      </c>
      <c r="I320">
        <f>VLOOKUP(A320,fruit_size!$A$2:$E$5,5,FALSE)</f>
        <v>0.28000000000000003</v>
      </c>
      <c r="J320" s="4">
        <f t="shared" si="9"/>
        <v>-6.6666666666666541E-2</v>
      </c>
    </row>
    <row r="321" spans="1:10" x14ac:dyDescent="0.2">
      <c r="A321">
        <v>4</v>
      </c>
      <c r="B321">
        <v>4</v>
      </c>
      <c r="C321">
        <v>14</v>
      </c>
      <c r="D321">
        <v>3.61</v>
      </c>
      <c r="E321">
        <v>8</v>
      </c>
      <c r="F321">
        <v>12</v>
      </c>
      <c r="G321">
        <f t="shared" si="8"/>
        <v>96</v>
      </c>
      <c r="H321">
        <f>VLOOKUP(A321,fruit_size!$A$2:$E$5,4,FALSE)</f>
        <v>0.3</v>
      </c>
      <c r="I321">
        <f>VLOOKUP(A321,fruit_size!$A$2:$E$5,5,FALSE)</f>
        <v>0.28000000000000003</v>
      </c>
      <c r="J321" s="4">
        <f t="shared" si="9"/>
        <v>-6.6666666666666541E-2</v>
      </c>
    </row>
    <row r="322" spans="1:10" x14ac:dyDescent="0.2">
      <c r="A322">
        <v>4</v>
      </c>
      <c r="B322">
        <v>4</v>
      </c>
      <c r="C322">
        <v>15</v>
      </c>
      <c r="D322">
        <v>3.5</v>
      </c>
      <c r="E322">
        <v>8</v>
      </c>
      <c r="F322">
        <v>12</v>
      </c>
      <c r="G322">
        <f t="shared" si="8"/>
        <v>96</v>
      </c>
      <c r="H322">
        <f>VLOOKUP(A322,fruit_size!$A$2:$E$5,4,FALSE)</f>
        <v>0.3</v>
      </c>
      <c r="I322">
        <f>VLOOKUP(A322,fruit_size!$A$2:$E$5,5,FALSE)</f>
        <v>0.28000000000000003</v>
      </c>
      <c r="J322" s="4">
        <f t="shared" si="9"/>
        <v>-6.6666666666666541E-2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944C-AC69-9047-98E6-9C0E5E3BE722}">
  <dimension ref="A1:E5"/>
  <sheetViews>
    <sheetView workbookViewId="0">
      <selection activeCell="D5" sqref="D5"/>
    </sheetView>
  </sheetViews>
  <sheetFormatPr baseColWidth="10" defaultRowHeight="15" x14ac:dyDescent="0.2"/>
  <cols>
    <col min="5" max="5" width="15.5" bestFit="1" customWidth="1"/>
  </cols>
  <sheetData>
    <row r="1" spans="1:5" x14ac:dyDescent="0.2">
      <c r="A1" t="s">
        <v>0</v>
      </c>
      <c r="B1" t="s">
        <v>4</v>
      </c>
      <c r="C1" t="s">
        <v>3</v>
      </c>
      <c r="D1" t="s">
        <v>7</v>
      </c>
      <c r="E1" t="s">
        <v>8</v>
      </c>
    </row>
    <row r="2" spans="1:5" x14ac:dyDescent="0.2">
      <c r="A2">
        <v>1</v>
      </c>
      <c r="B2">
        <v>6</v>
      </c>
      <c r="C2">
        <v>11</v>
      </c>
      <c r="D2">
        <v>0.36</v>
      </c>
      <c r="E2">
        <v>0.28999999999999998</v>
      </c>
    </row>
    <row r="3" spans="1:5" x14ac:dyDescent="0.2">
      <c r="A3">
        <v>2</v>
      </c>
      <c r="B3">
        <v>8</v>
      </c>
      <c r="C3">
        <v>14</v>
      </c>
      <c r="D3">
        <v>0.31</v>
      </c>
      <c r="E3">
        <v>0.31</v>
      </c>
    </row>
    <row r="4" spans="1:5" x14ac:dyDescent="0.2">
      <c r="A4">
        <v>3</v>
      </c>
      <c r="B4">
        <v>6</v>
      </c>
      <c r="C4">
        <v>12</v>
      </c>
      <c r="D4">
        <v>0.34</v>
      </c>
      <c r="E4">
        <v>0.28999999999999998</v>
      </c>
    </row>
    <row r="5" spans="1:5" x14ac:dyDescent="0.2">
      <c r="A5">
        <v>4</v>
      </c>
      <c r="B5">
        <v>8</v>
      </c>
      <c r="C5">
        <v>12</v>
      </c>
      <c r="D5">
        <v>0.3</v>
      </c>
      <c r="E5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data</vt:lpstr>
      <vt:lpstr>fruit_size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Atucha Lab</dc:creator>
  <cp:lastModifiedBy>Pedro Pablo Rojas Barros</cp:lastModifiedBy>
  <dcterms:created xsi:type="dcterms:W3CDTF">2024-04-04T18:25:38Z</dcterms:created>
  <dcterms:modified xsi:type="dcterms:W3CDTF">2024-04-05T21:25:42Z</dcterms:modified>
</cp:coreProperties>
</file>